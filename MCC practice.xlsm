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AB94E9A-64FC-49D0-8DAF-12CE4250474E}" xr6:coauthVersionLast="46" xr6:coauthVersionMax="46" xr10:uidLastSave="{00000000-0000-0000-0000-000000000000}"/>
  <bookViews>
    <workbookView xWindow="-108" yWindow="-108" windowWidth="23256" windowHeight="12576" activeTab="2" xr2:uid="{6574C0C4-5B7A-4D23-ADA2-8C43C0CB323A}"/>
  </bookViews>
  <sheets>
    <sheet name="Sheet1" sheetId="1" r:id="rId1"/>
    <sheet name="Sheet2" sheetId="2" r:id="rId2"/>
    <sheet name="Sheet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3" i="3" l="1"/>
  <c r="AI15" i="3" s="1"/>
  <c r="AI16" i="3"/>
  <c r="AH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E16" i="3"/>
  <c r="E13" i="3" s="1"/>
  <c r="F15" i="3" s="1"/>
  <c r="F12" i="3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C4" i="3"/>
  <c r="C5" i="3" s="1"/>
  <c r="E13" i="2"/>
  <c r="AI13" i="2"/>
  <c r="F12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C5" i="2"/>
  <c r="C4" i="2"/>
  <c r="E13" i="1"/>
  <c r="F16" i="1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G15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F12" i="1"/>
  <c r="AH15" i="1"/>
  <c r="AI13" i="1"/>
  <c r="C4" i="1"/>
  <c r="C5" i="1" s="1"/>
  <c r="F16" i="3" l="1"/>
  <c r="AG15" i="3"/>
  <c r="Y15" i="3"/>
  <c r="Q15" i="3"/>
  <c r="I15" i="3"/>
  <c r="AF15" i="3"/>
  <c r="X15" i="3"/>
  <c r="P15" i="3"/>
  <c r="H15" i="3"/>
  <c r="Z15" i="3"/>
  <c r="J15" i="3"/>
  <c r="AE15" i="3"/>
  <c r="W15" i="3"/>
  <c r="O15" i="3"/>
  <c r="G15" i="3"/>
  <c r="AD15" i="3"/>
  <c r="V15" i="3"/>
  <c r="N15" i="3"/>
  <c r="AC15" i="3"/>
  <c r="U15" i="3"/>
  <c r="M15" i="3"/>
  <c r="K15" i="3"/>
  <c r="R15" i="3"/>
  <c r="AB15" i="3"/>
  <c r="T15" i="3"/>
  <c r="L15" i="3"/>
  <c r="AA15" i="3"/>
  <c r="S15" i="3"/>
  <c r="AH15" i="3"/>
  <c r="AB15" i="2"/>
  <c r="M15" i="2"/>
  <c r="U15" i="2"/>
  <c r="AC15" i="2"/>
  <c r="F15" i="2"/>
  <c r="N15" i="2"/>
  <c r="V15" i="2"/>
  <c r="AD15" i="2"/>
  <c r="G15" i="2"/>
  <c r="O15" i="2"/>
  <c r="W15" i="2"/>
  <c r="AE15" i="2"/>
  <c r="H15" i="2"/>
  <c r="P15" i="2"/>
  <c r="X15" i="2"/>
  <c r="AF15" i="2"/>
  <c r="I15" i="2"/>
  <c r="Q15" i="2"/>
  <c r="Y15" i="2"/>
  <c r="AG15" i="2"/>
  <c r="J15" i="2"/>
  <c r="R15" i="2"/>
  <c r="Z15" i="2"/>
  <c r="AH15" i="2"/>
  <c r="K15" i="2"/>
  <c r="S15" i="2"/>
  <c r="AA15" i="2"/>
  <c r="L15" i="2"/>
  <c r="T15" i="2"/>
  <c r="F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</calcChain>
</file>

<file path=xl/sharedStrings.xml><?xml version="1.0" encoding="utf-8"?>
<sst xmlns="http://schemas.openxmlformats.org/spreadsheetml/2006/main" count="43" uniqueCount="18">
  <si>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</si>
  <si>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</si>
  <si>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</si>
  <si>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</si>
  <si>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</si>
  <si>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</si>
  <si>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</si>
  <si>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</si>
  <si>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</si>
  <si>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100+V:VE11:Z16</t>
  </si>
  <si>
    <t>T_inter</t>
  </si>
  <si>
    <t xml:space="preserve"> </t>
  </si>
  <si>
    <t>q</t>
  </si>
  <si>
    <t>q_start</t>
  </si>
  <si>
    <t>T_start</t>
  </si>
  <si>
    <t>a(Tw-Tg)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</si>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</sst>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2" xfId="0" applyBorder="1"/>
    <xf numFmtId="0" fontId="0" fillId="0" borderId="0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Sheet1!$E$12:$AI$12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Sheet1!$E$13:$AI$13</c:f>
              <c:numCache>
                <c:formatCode>General</c:formatCode>
                <c:ptCount val="31"/>
                <c:pt idx="0">
                  <c:v>304.44444444443258</c:v>
                </c:pt>
                <c:pt idx="1">
                  <c:v>297.62962962961774</c:v>
                </c:pt>
                <c:pt idx="2">
                  <c:v>290.81481481480296</c:v>
                </c:pt>
                <c:pt idx="3">
                  <c:v>283.99999999998823</c:v>
                </c:pt>
                <c:pt idx="4">
                  <c:v>277.18518518517351</c:v>
                </c:pt>
                <c:pt idx="5">
                  <c:v>270.37037037035884</c:v>
                </c:pt>
                <c:pt idx="6">
                  <c:v>263.55555555554423</c:v>
                </c:pt>
                <c:pt idx="7">
                  <c:v>256.74074074072962</c:v>
                </c:pt>
                <c:pt idx="8">
                  <c:v>249.9259259259151</c:v>
                </c:pt>
                <c:pt idx="9">
                  <c:v>243.11111111110057</c:v>
                </c:pt>
                <c:pt idx="10">
                  <c:v>236.29629629628607</c:v>
                </c:pt>
                <c:pt idx="11">
                  <c:v>229.4814814814716</c:v>
                </c:pt>
                <c:pt idx="12">
                  <c:v>222.66666666665714</c:v>
                </c:pt>
                <c:pt idx="13">
                  <c:v>215.8518518518427</c:v>
                </c:pt>
                <c:pt idx="14">
                  <c:v>209.03703703702828</c:v>
                </c:pt>
                <c:pt idx="15">
                  <c:v>202.22222222221387</c:v>
                </c:pt>
                <c:pt idx="16">
                  <c:v>195.40740740739949</c:v>
                </c:pt>
                <c:pt idx="17">
                  <c:v>188.59259259258513</c:v>
                </c:pt>
                <c:pt idx="18">
                  <c:v>181.77777777777078</c:v>
                </c:pt>
                <c:pt idx="19">
                  <c:v>174.96296296295645</c:v>
                </c:pt>
                <c:pt idx="20">
                  <c:v>168.14814814814216</c:v>
                </c:pt>
                <c:pt idx="21">
                  <c:v>161.33333333332786</c:v>
                </c:pt>
                <c:pt idx="22">
                  <c:v>154.51851851851359</c:v>
                </c:pt>
                <c:pt idx="23">
                  <c:v>147.70370370369935</c:v>
                </c:pt>
                <c:pt idx="24">
                  <c:v>140.88888888888511</c:v>
                </c:pt>
                <c:pt idx="25">
                  <c:v>134.07407407407089</c:v>
                </c:pt>
                <c:pt idx="26">
                  <c:v>127.25925925925671</c:v>
                </c:pt>
                <c:pt idx="27">
                  <c:v>120.44444444444252</c:v>
                </c:pt>
                <c:pt idx="28">
                  <c:v>113.62962962962834</c:v>
                </c:pt>
                <c:pt idx="29">
                  <c:v>106.81481481481417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4-4595-B314-892506371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207800"/>
        <c:axId val="559216440"/>
      </c:scatterChart>
      <c:valAx>
        <c:axId val="5592078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16440"/>
        <c:crosses val="autoZero"/>
        <c:crossBetween val="midCat"/>
      </c:valAx>
      <c:valAx>
        <c:axId val="559216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0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593143206619708E-2"/>
          <c:y val="7.2394137442023304E-2"/>
          <c:w val="0.83463350967073224"/>
          <c:h val="0.8040757677774544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Sheet1!$E$12:$AI$12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Sheet1!$E$13:$AI$13</c:f>
              <c:numCache>
                <c:formatCode>General</c:formatCode>
                <c:ptCount val="31"/>
                <c:pt idx="0">
                  <c:v>304.44444444443258</c:v>
                </c:pt>
                <c:pt idx="1">
                  <c:v>297.62962962961774</c:v>
                </c:pt>
                <c:pt idx="2">
                  <c:v>290.81481481480296</c:v>
                </c:pt>
                <c:pt idx="3">
                  <c:v>283.99999999998823</c:v>
                </c:pt>
                <c:pt idx="4">
                  <c:v>277.18518518517351</c:v>
                </c:pt>
                <c:pt idx="5">
                  <c:v>270.37037037035884</c:v>
                </c:pt>
                <c:pt idx="6">
                  <c:v>263.55555555554423</c:v>
                </c:pt>
                <c:pt idx="7">
                  <c:v>256.74074074072962</c:v>
                </c:pt>
                <c:pt idx="8">
                  <c:v>249.9259259259151</c:v>
                </c:pt>
                <c:pt idx="9">
                  <c:v>243.11111111110057</c:v>
                </c:pt>
                <c:pt idx="10">
                  <c:v>236.29629629628607</c:v>
                </c:pt>
                <c:pt idx="11">
                  <c:v>229.4814814814716</c:v>
                </c:pt>
                <c:pt idx="12">
                  <c:v>222.66666666665714</c:v>
                </c:pt>
                <c:pt idx="13">
                  <c:v>215.8518518518427</c:v>
                </c:pt>
                <c:pt idx="14">
                  <c:v>209.03703703702828</c:v>
                </c:pt>
                <c:pt idx="15">
                  <c:v>202.22222222221387</c:v>
                </c:pt>
                <c:pt idx="16">
                  <c:v>195.40740740739949</c:v>
                </c:pt>
                <c:pt idx="17">
                  <c:v>188.59259259258513</c:v>
                </c:pt>
                <c:pt idx="18">
                  <c:v>181.77777777777078</c:v>
                </c:pt>
                <c:pt idx="19">
                  <c:v>174.96296296295645</c:v>
                </c:pt>
                <c:pt idx="20">
                  <c:v>168.14814814814216</c:v>
                </c:pt>
                <c:pt idx="21">
                  <c:v>161.33333333332786</c:v>
                </c:pt>
                <c:pt idx="22">
                  <c:v>154.51851851851359</c:v>
                </c:pt>
                <c:pt idx="23">
                  <c:v>147.70370370369935</c:v>
                </c:pt>
                <c:pt idx="24">
                  <c:v>140.88888888888511</c:v>
                </c:pt>
                <c:pt idx="25">
                  <c:v>134.07407407407089</c:v>
                </c:pt>
                <c:pt idx="26">
                  <c:v>127.25925925925671</c:v>
                </c:pt>
                <c:pt idx="27">
                  <c:v>120.44444444444252</c:v>
                </c:pt>
                <c:pt idx="28">
                  <c:v>113.62962962962834</c:v>
                </c:pt>
                <c:pt idx="29">
                  <c:v>106.81481481481417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97-4E3C-A311-9066F9E9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207800"/>
        <c:axId val="559216440"/>
      </c:scatterChart>
      <c:valAx>
        <c:axId val="5592078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16440"/>
        <c:crosses val="autoZero"/>
        <c:crossBetween val="midCat"/>
      </c:valAx>
      <c:valAx>
        <c:axId val="559216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0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593143206619708E-2"/>
          <c:y val="7.2394137442023304E-2"/>
          <c:w val="0.83463350967073224"/>
          <c:h val="0.8040757677774544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Sheet1!$E$12:$AI$12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Sheet1!$E$13:$AI$13</c:f>
              <c:numCache>
                <c:formatCode>General</c:formatCode>
                <c:ptCount val="31"/>
                <c:pt idx="0">
                  <c:v>304.44444444443258</c:v>
                </c:pt>
                <c:pt idx="1">
                  <c:v>297.62962962961774</c:v>
                </c:pt>
                <c:pt idx="2">
                  <c:v>290.81481481480296</c:v>
                </c:pt>
                <c:pt idx="3">
                  <c:v>283.99999999998823</c:v>
                </c:pt>
                <c:pt idx="4">
                  <c:v>277.18518518517351</c:v>
                </c:pt>
                <c:pt idx="5">
                  <c:v>270.37037037035884</c:v>
                </c:pt>
                <c:pt idx="6">
                  <c:v>263.55555555554423</c:v>
                </c:pt>
                <c:pt idx="7">
                  <c:v>256.74074074072962</c:v>
                </c:pt>
                <c:pt idx="8">
                  <c:v>249.9259259259151</c:v>
                </c:pt>
                <c:pt idx="9">
                  <c:v>243.11111111110057</c:v>
                </c:pt>
                <c:pt idx="10">
                  <c:v>236.29629629628607</c:v>
                </c:pt>
                <c:pt idx="11">
                  <c:v>229.4814814814716</c:v>
                </c:pt>
                <c:pt idx="12">
                  <c:v>222.66666666665714</c:v>
                </c:pt>
                <c:pt idx="13">
                  <c:v>215.8518518518427</c:v>
                </c:pt>
                <c:pt idx="14">
                  <c:v>209.03703703702828</c:v>
                </c:pt>
                <c:pt idx="15">
                  <c:v>202.22222222221387</c:v>
                </c:pt>
                <c:pt idx="16">
                  <c:v>195.40740740739949</c:v>
                </c:pt>
                <c:pt idx="17">
                  <c:v>188.59259259258513</c:v>
                </c:pt>
                <c:pt idx="18">
                  <c:v>181.77777777777078</c:v>
                </c:pt>
                <c:pt idx="19">
                  <c:v>174.96296296295645</c:v>
                </c:pt>
                <c:pt idx="20">
                  <c:v>168.14814814814216</c:v>
                </c:pt>
                <c:pt idx="21">
                  <c:v>161.33333333332786</c:v>
                </c:pt>
                <c:pt idx="22">
                  <c:v>154.51851851851359</c:v>
                </c:pt>
                <c:pt idx="23">
                  <c:v>147.70370370369935</c:v>
                </c:pt>
                <c:pt idx="24">
                  <c:v>140.88888888888511</c:v>
                </c:pt>
                <c:pt idx="25">
                  <c:v>134.07407407407089</c:v>
                </c:pt>
                <c:pt idx="26">
                  <c:v>127.25925925925671</c:v>
                </c:pt>
                <c:pt idx="27">
                  <c:v>120.44444444444252</c:v>
                </c:pt>
                <c:pt idx="28">
                  <c:v>113.62962962962834</c:v>
                </c:pt>
                <c:pt idx="29">
                  <c:v>106.81481481481417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68-48EA-9E7D-594B41F1A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207800"/>
        <c:axId val="559216440"/>
      </c:scatterChart>
      <c:valAx>
        <c:axId val="5592078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16440"/>
        <c:crosses val="autoZero"/>
        <c:crossBetween val="midCat"/>
      </c:valAx>
      <c:valAx>
        <c:axId val="559216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920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163286</xdr:colOff>
      <xdr:row>17</xdr:row>
      <xdr:rowOff>103414</xdr:rowOff>
    </xdr:from>
    <xdr:to>
      <xdr:col>29</xdr:col>
      <xdr:colOff>54429</xdr:colOff>
      <xdr:row>32</xdr:row>
      <xdr:rowOff>70756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B179C4-B242-48FA-AA8F-E0B2B5506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28</xdr:col>
      <xdr:colOff>130628</xdr:colOff>
      <xdr:row>30</xdr:row>
      <xdr:rowOff>125185</xdr:rowOff>
    </xdr:from>
    <xdr:ext cx="43543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xdr:cNvPr>
            <xdr:cNvSpPr txBox="1"/>
          </xdr:nvSpPr>
          <xdr:spPr>
            <a:xfrm>
              <a:off x="16655142" y="5676899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14:m>
                <m:oMath xmlns:m="http://schemas.openxmlformats.org/officeDocument/2006/math">
                  <m:r>
                    <a:rPr lang="en-150" sz="1400" b="0" i="1">
                      <a:latin typeface="Cambria Math" panose="02040503050406030204" pitchFamily="18" charset="0"/>
                    </a:rPr>
                    <m:t>[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xdr:cNvPr>
            <xdr:cNvSpPr txBox="1"/>
          </xdr:nvSpPr>
          <xdr:spPr>
            <a:xfrm>
              <a:off x="16655142" y="5676899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:r>
                <a:rPr lang="en-150" sz="1400" b="0" i="0">
                  <a:latin typeface="Cambria Math" panose="02040503050406030204" pitchFamily="18" charset="0"/>
                </a:rPr>
                <a:t>[𝑚]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0.10635</cdr:x>
      <cdr:y>0.09841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435430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150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435430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150" sz="1400" b="0" i="0">
                  <a:latin typeface="Cambria Math" panose="02040503050406030204" pitchFamily="18" charset="0"/>
                </a:rPr>
                <a:t>𝑇[𝐶]</a:t>
              </a:r>
              <a:endParaRPr lang="ru-RU" sz="1400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563336</xdr:colOff>
      <xdr:row>16</xdr:row>
      <xdr:rowOff>27214</xdr:rowOff>
    </xdr:from>
    <xdr:to>
      <xdr:col>11</xdr:col>
      <xdr:colOff>454479</xdr:colOff>
      <xdr:row>30</xdr:row>
      <xdr:rowOff>185056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449105-37C6-4A3B-B472-94685A025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448932</xdr:colOff>
      <xdr:row>28</xdr:row>
      <xdr:rowOff>115540</xdr:rowOff>
    </xdr:from>
    <xdr:ext cx="43543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FB7DB34-C7B2-4086-84C5-79F3540A2BF8}"/>
                </a:ext>
              </a:extLst>
            </xdr:cNvPr>
            <xdr:cNvSpPr txBox="1"/>
          </xdr:nvSpPr>
          <xdr:spPr>
            <a:xfrm>
              <a:off x="6525641" y="5246983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14:m>
                <m:oMath xmlns:m="http://schemas.openxmlformats.org/officeDocument/2006/math">
                  <m:r>
                    <a:rPr lang="en-150" sz="1400" b="0" i="1">
                      <a:latin typeface="Cambria Math" panose="02040503050406030204" pitchFamily="18" charset="0"/>
                    </a:rPr>
                    <m:t>[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FB7DB34-C7B2-4086-84C5-79F3540A2BF8}"/>
                </a:ext>
              </a:extLst>
            </xdr:cNvPr>
            <xdr:cNvSpPr txBox="1"/>
          </xdr:nvSpPr>
          <xdr:spPr>
            <a:xfrm>
              <a:off x="6525641" y="5246983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:r>
                <a:rPr lang="en-150" sz="1400" b="0" i="0">
                  <a:latin typeface="Cambria Math" panose="02040503050406030204" pitchFamily="18" charset="0"/>
                </a:rPr>
                <a:t>[𝑚]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0.01111</cdr:x>
      <cdr:y>0.01852</cdr:y>
    </cdr:from>
    <cdr:to>
      <cdr:x>0.10635</cdr:x>
      <cdr:y>0.09841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435430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150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50800" y="50800"/>
              <a:ext cx="435430" cy="2191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150" sz="1400" b="0" i="0">
                  <a:latin typeface="Cambria Math" panose="02040503050406030204" pitchFamily="18" charset="0"/>
                </a:rPr>
                <a:t>𝑇[𝐶]</a:t>
              </a:r>
              <a:endParaRPr lang="ru-RU" sz="1400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494756</xdr:colOff>
      <xdr:row>18</xdr:row>
      <xdr:rowOff>103414</xdr:rowOff>
    </xdr:from>
    <xdr:to>
      <xdr:col>11</xdr:col>
      <xdr:colOff>385899</xdr:colOff>
      <xdr:row>33</xdr:row>
      <xdr:rowOff>78376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E0A16A-EBB9-44FC-AB96-9FCC23A321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60312</xdr:colOff>
      <xdr:row>30</xdr:row>
      <xdr:rowOff>146020</xdr:rowOff>
    </xdr:from>
    <xdr:ext cx="43543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F0DD657-5309-4A7F-A841-6ADECFDBE4DC}"/>
                </a:ext>
              </a:extLst>
            </xdr:cNvPr>
            <xdr:cNvSpPr txBox="1"/>
          </xdr:nvSpPr>
          <xdr:spPr>
            <a:xfrm>
              <a:off x="6765912" y="5632420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14:m>
                <m:oMath xmlns:m="http://schemas.openxmlformats.org/officeDocument/2006/math">
                  <m:r>
                    <a:rPr lang="en-150" sz="1400" b="0" i="1">
                      <a:latin typeface="Cambria Math" panose="02040503050406030204" pitchFamily="18" charset="0"/>
                    </a:rPr>
                    <m:t>[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150" sz="14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F0DD657-5309-4A7F-A841-6ADECFDBE4DC}"/>
                </a:ext>
              </a:extLst>
            </xdr:cNvPr>
            <xdr:cNvSpPr txBox="1"/>
          </xdr:nvSpPr>
          <xdr:spPr>
            <a:xfrm>
              <a:off x="6765912" y="5632420"/>
              <a:ext cx="43543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150" sz="1400" b="0"/>
                <a:t>L</a:t>
              </a:r>
              <a:r>
                <a:rPr lang="en-150" sz="1400" b="0" i="0">
                  <a:latin typeface="Cambria Math" panose="02040503050406030204" pitchFamily="18" charset="0"/>
                </a:rPr>
                <a:t>[𝑚]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0.02693</cdr:y>
    </cdr:from>
    <cdr:to>
      <cdr:x>0.09524</cdr:x>
      <cdr:y>0.10682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0" y="73200"/>
              <a:ext cx="454099" cy="217154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150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150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cdr:txBody>
        </cdr:sp>
      </mc:Choice>
      <mc:Fallback xmlns="">
        <cdr:sp macro="" textlink="">
          <cdr:nvSpPr>
            <cdr:cNvPr id="2" name="TextBox 2">
              <a:extLst xmlns:a="http://schemas.openxmlformats.org/drawingml/2006/main">
                <a:ext uri="{FF2B5EF4-FFF2-40B4-BE49-F238E27FC236}">
                  <a16:creationId xmlns:a16="http://schemas.microsoft.com/office/drawing/2014/main" id="{A6C4CE36-9F7F-409F-86BD-2D9C6D9086CC}"/>
                </a:ext>
              </a:extLst>
            </cdr:cNvPr>
            <cdr:cNvSpPr txBox="1"/>
          </cdr:nvSpPr>
          <cdr:spPr>
            <a:xfrm xmlns:a="http://schemas.openxmlformats.org/drawingml/2006/main">
              <a:off x="0" y="73200"/>
              <a:ext cx="454099" cy="217154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150" sz="1400" b="0" i="0">
                  <a:latin typeface="Cambria Math" panose="02040503050406030204" pitchFamily="18" charset="0"/>
                </a:rPr>
                <a:t>𝑇[𝐶]</a:t>
              </a:r>
              <a:endParaRPr lang="ru-RU" sz="14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198F-AA96-4BF2-B704-E4AD6A417CD4}">
  <sheetPr codeName="Sheet1"/>
  <dimension ref="B1:AI19"/>
  <sheetViews>
    <sheetView zoomScale="60" zoomScaleNormal="60" workbookViewId="0">
      <selection activeCell="F16" sqref="F16"/>
    </sheetView>
  </sheetViews>
  <sheetFormatPr defaultRowHeight="14.4" x14ac:dyDescent="0.3"/>
  <cols>
    <col min="3" max="3" width="10.44140625" bestFit="1" customWidth="1"/>
    <col min="5" max="5" width="7.88671875" customWidth="1"/>
    <col min="6" max="6" width="9.6640625" bestFit="1" customWidth="1"/>
    <col min="7" max="7" width="7.88671875" bestFit="1" customWidth="1"/>
    <col min="18" max="19" width="7.88671875" bestFit="1" customWidth="1"/>
    <col min="20" max="21" width="7.88671875" customWidth="1"/>
    <col min="23" max="24" width="7.88671875" bestFit="1" customWidth="1"/>
    <col min="26" max="26" width="7.88671875" bestFit="1" customWidth="1"/>
    <col min="33" max="34" width="8.88671875" customWidth="1"/>
  </cols>
  <sheetData>
    <row r="1" spans="2:35" x14ac:dyDescent="0.3">
      <c r="V1" t="s">
        <v>9</v>
      </c>
    </row>
    <row r="3" spans="2:35" x14ac:dyDescent="0.3">
      <c r="B3" s="1" t="s">
        <v>0</v>
      </c>
      <c r="C3" s="1">
        <v>0.1</v>
      </c>
    </row>
    <row r="4" spans="2:35" x14ac:dyDescent="0.3">
      <c r="B4" s="1" t="s">
        <v>1</v>
      </c>
      <c r="C4" s="4">
        <f>C3/30</f>
        <v>3.3333333333333335E-3</v>
      </c>
    </row>
    <row r="5" spans="2:35" x14ac:dyDescent="0.3">
      <c r="B5" s="1" t="s">
        <v>2</v>
      </c>
      <c r="C5" s="4">
        <f>(C9*C8*C4^2)/(2*C10)</f>
        <v>0.44296296296296306</v>
      </c>
    </row>
    <row r="6" spans="2:35" x14ac:dyDescent="0.3">
      <c r="B6" s="1" t="s">
        <v>3</v>
      </c>
      <c r="C6" s="1">
        <v>5000</v>
      </c>
      <c r="D6">
        <v>5000.1659259259268</v>
      </c>
    </row>
    <row r="7" spans="2:35" x14ac:dyDescent="0.3">
      <c r="B7" s="6"/>
      <c r="C7" s="6"/>
    </row>
    <row r="8" spans="2:35" x14ac:dyDescent="0.3">
      <c r="B8" s="5" t="s">
        <v>4</v>
      </c>
      <c r="C8" s="5">
        <v>460</v>
      </c>
    </row>
    <row r="9" spans="2:35" x14ac:dyDescent="0.3">
      <c r="B9" s="1" t="s">
        <v>5</v>
      </c>
      <c r="C9" s="1">
        <v>7800</v>
      </c>
    </row>
    <row r="10" spans="2:35" x14ac:dyDescent="0.3">
      <c r="B10" s="1" t="s">
        <v>6</v>
      </c>
      <c r="C10" s="1">
        <v>45</v>
      </c>
    </row>
    <row r="11" spans="2:35" x14ac:dyDescent="0.3"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U11" s="1">
        <v>17</v>
      </c>
      <c r="V11" s="1">
        <v>18</v>
      </c>
      <c r="W11" s="1">
        <v>19</v>
      </c>
      <c r="X11" s="1">
        <v>20</v>
      </c>
      <c r="Y11" s="1">
        <v>21</v>
      </c>
      <c r="Z11" s="1">
        <v>22</v>
      </c>
      <c r="AA11" s="1">
        <v>23</v>
      </c>
      <c r="AB11" s="1">
        <v>24</v>
      </c>
      <c r="AC11" s="1">
        <v>25</v>
      </c>
      <c r="AD11" s="1">
        <v>26</v>
      </c>
      <c r="AE11" s="1">
        <v>27</v>
      </c>
      <c r="AF11" s="1">
        <v>28</v>
      </c>
      <c r="AG11" s="1">
        <v>29</v>
      </c>
      <c r="AH11" s="1">
        <v>30</v>
      </c>
      <c r="AI11" s="1">
        <v>31</v>
      </c>
    </row>
    <row r="12" spans="2:35" x14ac:dyDescent="0.3">
      <c r="D12" t="s">
        <v>0</v>
      </c>
      <c r="E12" s="2">
        <v>0</v>
      </c>
      <c r="F12" s="2">
        <f>E12+$C$4</f>
        <v>3.3333333333333335E-3</v>
      </c>
      <c r="G12" s="2">
        <f t="shared" ref="G12:AI12" si="0">F12+$C$4</f>
        <v>6.6666666666666671E-3</v>
      </c>
      <c r="H12" s="2">
        <f t="shared" si="0"/>
        <v>0.01</v>
      </c>
      <c r="I12" s="2">
        <f t="shared" si="0"/>
        <v>1.3333333333333334E-2</v>
      </c>
      <c r="J12" s="2">
        <f t="shared" si="0"/>
        <v>1.6666666666666666E-2</v>
      </c>
      <c r="K12" s="2">
        <f t="shared" si="0"/>
        <v>0.02</v>
      </c>
      <c r="L12" s="2">
        <f t="shared" si="0"/>
        <v>2.3333333333333334E-2</v>
      </c>
      <c r="M12" s="2">
        <f t="shared" si="0"/>
        <v>2.6666666666666668E-2</v>
      </c>
      <c r="N12" s="2">
        <f t="shared" si="0"/>
        <v>3.0000000000000002E-2</v>
      </c>
      <c r="O12" s="2">
        <f t="shared" si="0"/>
        <v>3.3333333333333333E-2</v>
      </c>
      <c r="P12" s="2">
        <f t="shared" si="0"/>
        <v>3.6666666666666667E-2</v>
      </c>
      <c r="Q12" s="2">
        <f t="shared" si="0"/>
        <v>0.04</v>
      </c>
      <c r="R12" s="2">
        <f t="shared" si="0"/>
        <v>4.3333333333333335E-2</v>
      </c>
      <c r="S12" s="2">
        <f t="shared" si="0"/>
        <v>4.6666666666666669E-2</v>
      </c>
      <c r="T12" s="2">
        <f t="shared" si="0"/>
        <v>0.05</v>
      </c>
      <c r="U12" s="2">
        <f t="shared" si="0"/>
        <v>5.3333333333333337E-2</v>
      </c>
      <c r="V12" s="2">
        <f t="shared" si="0"/>
        <v>5.6666666666666671E-2</v>
      </c>
      <c r="W12" s="2">
        <f t="shared" si="0"/>
        <v>6.0000000000000005E-2</v>
      </c>
      <c r="X12" s="2">
        <f t="shared" si="0"/>
        <v>6.3333333333333339E-2</v>
      </c>
      <c r="Y12" s="2">
        <f t="shared" si="0"/>
        <v>6.6666666666666666E-2</v>
      </c>
      <c r="Z12" s="2">
        <f t="shared" si="0"/>
        <v>6.9999999999999993E-2</v>
      </c>
      <c r="AA12" s="2">
        <f t="shared" si="0"/>
        <v>7.333333333333332E-2</v>
      </c>
      <c r="AB12" s="2">
        <f t="shared" si="0"/>
        <v>7.6666666666666647E-2</v>
      </c>
      <c r="AC12" s="2">
        <f t="shared" si="0"/>
        <v>7.9999999999999974E-2</v>
      </c>
      <c r="AD12" s="2">
        <f t="shared" si="0"/>
        <v>8.3333333333333301E-2</v>
      </c>
      <c r="AE12" s="2">
        <f t="shared" si="0"/>
        <v>8.6666666666666628E-2</v>
      </c>
      <c r="AF12" s="2">
        <f t="shared" si="0"/>
        <v>8.9999999999999955E-2</v>
      </c>
      <c r="AG12" s="2">
        <f t="shared" si="0"/>
        <v>9.3333333333333282E-2</v>
      </c>
      <c r="AH12" s="2">
        <f t="shared" si="0"/>
        <v>9.6666666666666609E-2</v>
      </c>
      <c r="AI12" s="2">
        <f t="shared" si="0"/>
        <v>9.9999999999999936E-2</v>
      </c>
    </row>
    <row r="13" spans="2:35" x14ac:dyDescent="0.3">
      <c r="B13" s="1" t="s">
        <v>13</v>
      </c>
      <c r="C13" s="1">
        <v>92000</v>
      </c>
      <c r="D13" t="s">
        <v>7</v>
      </c>
      <c r="E13" s="3">
        <f>(E16/C10)*C4+F13</f>
        <v>304.44444444443258</v>
      </c>
      <c r="F13">
        <v>297.62962962961774</v>
      </c>
      <c r="G13">
        <v>290.81481481480296</v>
      </c>
      <c r="H13">
        <v>283.99999999998823</v>
      </c>
      <c r="I13">
        <v>277.18518518517351</v>
      </c>
      <c r="J13">
        <v>270.37037037035884</v>
      </c>
      <c r="K13">
        <v>263.55555555554423</v>
      </c>
      <c r="L13">
        <v>256.74074074072962</v>
      </c>
      <c r="M13">
        <v>249.9259259259151</v>
      </c>
      <c r="N13">
        <v>243.11111111110057</v>
      </c>
      <c r="O13">
        <v>236.29629629628607</v>
      </c>
      <c r="P13">
        <v>229.4814814814716</v>
      </c>
      <c r="Q13">
        <v>222.66666666665714</v>
      </c>
      <c r="R13">
        <v>215.8518518518427</v>
      </c>
      <c r="S13">
        <v>209.03703703702828</v>
      </c>
      <c r="T13">
        <v>202.22222222221387</v>
      </c>
      <c r="U13">
        <v>195.40740740739949</v>
      </c>
      <c r="V13">
        <v>188.59259259258513</v>
      </c>
      <c r="W13">
        <v>181.77777777777078</v>
      </c>
      <c r="X13">
        <v>174.96296296295645</v>
      </c>
      <c r="Y13">
        <v>168.14814814814216</v>
      </c>
      <c r="Z13">
        <v>161.33333333332786</v>
      </c>
      <c r="AA13">
        <v>154.51851851851359</v>
      </c>
      <c r="AB13">
        <v>147.70370370369935</v>
      </c>
      <c r="AC13">
        <v>140.88888888888511</v>
      </c>
      <c r="AD13">
        <v>134.07407407407089</v>
      </c>
      <c r="AE13">
        <v>127.25925925925671</v>
      </c>
      <c r="AF13">
        <v>120.44444444444252</v>
      </c>
      <c r="AG13">
        <v>113.62962962962834</v>
      </c>
      <c r="AH13">
        <v>106.81481481481417</v>
      </c>
      <c r="AI13" s="3">
        <f>C14</f>
        <v>100</v>
      </c>
    </row>
    <row r="14" spans="2:35" x14ac:dyDescent="0.3">
      <c r="B14" s="1" t="s">
        <v>8</v>
      </c>
      <c r="C14" s="1">
        <v>100</v>
      </c>
    </row>
    <row r="15" spans="2:35" x14ac:dyDescent="0.3">
      <c r="D15" t="s">
        <v>10</v>
      </c>
      <c r="F15">
        <f>F13+(($C$10*$C$5)/($C$9*$C$8))*((G13-2*F13+E13)/($C$4^2))</f>
        <v>297.62962962961774</v>
      </c>
      <c r="G15">
        <f>G13+(($C$10*$C$5)/($C$9*$C$8))*((H13-2*G13+F13)/($C$4^2))</f>
        <v>290.81481481480296</v>
      </c>
      <c r="H15">
        <f t="shared" ref="H15:AG15" si="1">H13+(($C$10*$C$5)/($C$9*$C$8))*((I13-2*H13+G13)/($C$4^2))</f>
        <v>283.99999999998823</v>
      </c>
      <c r="I15">
        <f t="shared" si="1"/>
        <v>277.18518518517351</v>
      </c>
      <c r="J15">
        <f t="shared" si="1"/>
        <v>270.37037037035884</v>
      </c>
      <c r="K15">
        <f t="shared" si="1"/>
        <v>263.55555555554423</v>
      </c>
      <c r="L15">
        <f t="shared" si="1"/>
        <v>256.74074074072962</v>
      </c>
      <c r="M15">
        <f t="shared" si="1"/>
        <v>249.9259259259151</v>
      </c>
      <c r="N15">
        <f t="shared" si="1"/>
        <v>243.11111111110057</v>
      </c>
      <c r="O15">
        <f t="shared" si="1"/>
        <v>236.29629629628607</v>
      </c>
      <c r="P15">
        <f t="shared" si="1"/>
        <v>229.4814814814716</v>
      </c>
      <c r="Q15">
        <f t="shared" si="1"/>
        <v>222.66666666665714</v>
      </c>
      <c r="R15">
        <f t="shared" si="1"/>
        <v>215.8518518518427</v>
      </c>
      <c r="S15">
        <f t="shared" si="1"/>
        <v>209.03703703702828</v>
      </c>
      <c r="T15">
        <f t="shared" si="1"/>
        <v>202.22222222221387</v>
      </c>
      <c r="U15">
        <f t="shared" si="1"/>
        <v>195.40740740739949</v>
      </c>
      <c r="V15">
        <f t="shared" si="1"/>
        <v>188.59259259258513</v>
      </c>
      <c r="W15">
        <f t="shared" si="1"/>
        <v>181.77777777777078</v>
      </c>
      <c r="X15">
        <f t="shared" si="1"/>
        <v>174.96296296295645</v>
      </c>
      <c r="Y15">
        <f t="shared" si="1"/>
        <v>168.14814814814216</v>
      </c>
      <c r="Z15">
        <f t="shared" si="1"/>
        <v>161.33333333332786</v>
      </c>
      <c r="AA15">
        <f t="shared" si="1"/>
        <v>154.51851851851359</v>
      </c>
      <c r="AB15">
        <f t="shared" si="1"/>
        <v>147.70370370369935</v>
      </c>
      <c r="AC15">
        <f t="shared" si="1"/>
        <v>140.88888888888511</v>
      </c>
      <c r="AD15">
        <f t="shared" si="1"/>
        <v>134.07407407407089</v>
      </c>
      <c r="AE15">
        <f t="shared" si="1"/>
        <v>127.25925925925671</v>
      </c>
      <c r="AF15">
        <f t="shared" si="1"/>
        <v>120.44444444444252</v>
      </c>
      <c r="AG15">
        <f t="shared" si="1"/>
        <v>113.62962962962834</v>
      </c>
      <c r="AH15">
        <f t="shared" ref="AH15" si="2">AH13+(($C$10*$C$5)/($C$9*$C$8))*((AI13-2*AH13+AG13)/($C$4^2))</f>
        <v>106.81481481481417</v>
      </c>
    </row>
    <row r="16" spans="2:35" x14ac:dyDescent="0.3">
      <c r="D16" t="s">
        <v>12</v>
      </c>
      <c r="E16">
        <v>92000</v>
      </c>
      <c r="F16">
        <f>-$C$10*((F13-E13)/($C$4))</f>
        <v>92000.000000000306</v>
      </c>
      <c r="G16">
        <f t="shared" ref="G16:AH16" si="3">-$C$10*(G13-F13)/($C$4)</f>
        <v>91999.999999999534</v>
      </c>
      <c r="H16">
        <f t="shared" si="3"/>
        <v>91999.999999998778</v>
      </c>
      <c r="I16">
        <f t="shared" si="3"/>
        <v>91999.999999998778</v>
      </c>
      <c r="J16">
        <f t="shared" si="3"/>
        <v>91999.999999998006</v>
      </c>
      <c r="K16">
        <f t="shared" si="3"/>
        <v>91999.999999997235</v>
      </c>
      <c r="L16">
        <f t="shared" si="3"/>
        <v>91999.999999997235</v>
      </c>
      <c r="M16">
        <f t="shared" si="3"/>
        <v>91999.9999999961</v>
      </c>
      <c r="N16">
        <f t="shared" si="3"/>
        <v>91999.9999999961</v>
      </c>
      <c r="O16">
        <f t="shared" si="3"/>
        <v>91999.999999995707</v>
      </c>
      <c r="P16">
        <f t="shared" si="3"/>
        <v>91999.999999995314</v>
      </c>
      <c r="Q16">
        <f t="shared" si="3"/>
        <v>91999.999999995314</v>
      </c>
      <c r="R16">
        <f t="shared" si="3"/>
        <v>91999.999999994936</v>
      </c>
      <c r="S16">
        <f t="shared" si="3"/>
        <v>91999.999999994558</v>
      </c>
      <c r="T16">
        <f t="shared" si="3"/>
        <v>91999.999999994558</v>
      </c>
      <c r="U16">
        <f t="shared" si="3"/>
        <v>91999.999999994165</v>
      </c>
      <c r="V16">
        <f t="shared" si="3"/>
        <v>91999.999999993772</v>
      </c>
      <c r="W16">
        <f t="shared" si="3"/>
        <v>91999.999999993772</v>
      </c>
      <c r="X16">
        <f t="shared" si="3"/>
        <v>91999.999999993393</v>
      </c>
      <c r="Y16">
        <f t="shared" si="3"/>
        <v>91999.99999999303</v>
      </c>
      <c r="Z16">
        <f t="shared" si="3"/>
        <v>91999.99999999303</v>
      </c>
      <c r="AA16">
        <f t="shared" si="3"/>
        <v>91999.999999992637</v>
      </c>
      <c r="AB16">
        <f t="shared" si="3"/>
        <v>91999.999999992244</v>
      </c>
      <c r="AC16">
        <f t="shared" si="3"/>
        <v>91999.999999992244</v>
      </c>
      <c r="AD16">
        <f t="shared" si="3"/>
        <v>91999.999999991865</v>
      </c>
      <c r="AE16">
        <f t="shared" si="3"/>
        <v>91999.999999991487</v>
      </c>
      <c r="AF16">
        <f t="shared" si="3"/>
        <v>91999.999999991487</v>
      </c>
      <c r="AG16">
        <f t="shared" si="3"/>
        <v>91999.999999991487</v>
      </c>
      <c r="AH16">
        <f t="shared" si="3"/>
        <v>91999.999999991283</v>
      </c>
    </row>
    <row r="19" spans="31:31" x14ac:dyDescent="0.3">
      <c r="AE19" t="s">
        <v>11</v>
      </c>
    </row>
  </sheetData>
  <conditionalFormatting sqref="E13:AI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8C61E-7DC1-461C-8D95-F26241EFF414}">
  <sheetPr codeName="Sheet2"/>
  <dimension ref="B3:AI19"/>
  <sheetViews>
    <sheetView zoomScale="62" zoomScaleNormal="62" workbookViewId="0">
      <selection activeCell="AI13" sqref="AI13"/>
    </sheetView>
  </sheetViews>
  <sheetFormatPr defaultRowHeight="14.4" x14ac:dyDescent="0.3"/>
  <sheetData>
    <row r="3" spans="2:35" x14ac:dyDescent="0.3">
      <c r="B3" s="1" t="s">
        <v>0</v>
      </c>
      <c r="C3" s="1">
        <v>0.1</v>
      </c>
    </row>
    <row r="4" spans="2:35" x14ac:dyDescent="0.3">
      <c r="B4" s="1" t="s">
        <v>1</v>
      </c>
      <c r="C4" s="4">
        <f>C3/30</f>
        <v>3.3333333333333335E-3</v>
      </c>
    </row>
    <row r="5" spans="2:35" x14ac:dyDescent="0.3">
      <c r="B5" s="1" t="s">
        <v>2</v>
      </c>
      <c r="C5" s="4">
        <f>(C9*C8*C4^2)/(2*C10)</f>
        <v>0.44296296296296306</v>
      </c>
    </row>
    <row r="6" spans="2:35" x14ac:dyDescent="0.3">
      <c r="B6" s="1" t="s">
        <v>3</v>
      </c>
      <c r="C6" s="1">
        <v>500</v>
      </c>
      <c r="D6">
        <v>500.44296296296295</v>
      </c>
    </row>
    <row r="7" spans="2:35" x14ac:dyDescent="0.3">
      <c r="B7" s="6"/>
      <c r="C7" s="6"/>
    </row>
    <row r="8" spans="2:35" x14ac:dyDescent="0.3">
      <c r="B8" s="5" t="s">
        <v>4</v>
      </c>
      <c r="C8" s="5">
        <v>460</v>
      </c>
    </row>
    <row r="9" spans="2:35" x14ac:dyDescent="0.3">
      <c r="B9" s="1" t="s">
        <v>5</v>
      </c>
      <c r="C9" s="1">
        <v>7800</v>
      </c>
    </row>
    <row r="10" spans="2:35" x14ac:dyDescent="0.3">
      <c r="B10" s="1" t="s">
        <v>6</v>
      </c>
      <c r="C10" s="1">
        <v>45</v>
      </c>
    </row>
    <row r="11" spans="2:35" x14ac:dyDescent="0.3"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U11" s="1">
        <v>17</v>
      </c>
      <c r="V11" s="1">
        <v>18</v>
      </c>
      <c r="W11" s="1">
        <v>19</v>
      </c>
      <c r="X11" s="1">
        <v>20</v>
      </c>
      <c r="Y11" s="1">
        <v>21</v>
      </c>
      <c r="Z11" s="1">
        <v>22</v>
      </c>
      <c r="AA11" s="1">
        <v>23</v>
      </c>
      <c r="AB11" s="1">
        <v>24</v>
      </c>
      <c r="AC11" s="1">
        <v>25</v>
      </c>
      <c r="AD11" s="1">
        <v>26</v>
      </c>
      <c r="AE11" s="1">
        <v>27</v>
      </c>
      <c r="AF11" s="1">
        <v>28</v>
      </c>
      <c r="AG11" s="1">
        <v>29</v>
      </c>
      <c r="AH11" s="1">
        <v>30</v>
      </c>
      <c r="AI11" s="1">
        <v>31</v>
      </c>
    </row>
    <row r="12" spans="2:35" x14ac:dyDescent="0.3">
      <c r="D12" t="s">
        <v>0</v>
      </c>
      <c r="E12" s="2">
        <v>0</v>
      </c>
      <c r="F12" s="2">
        <f>E12+$C$4</f>
        <v>3.3333333333333335E-3</v>
      </c>
      <c r="G12" s="2">
        <f t="shared" ref="G12:AI12" si="0">F12+$C$4</f>
        <v>6.6666666666666671E-3</v>
      </c>
      <c r="H12" s="2">
        <f t="shared" si="0"/>
        <v>0.01</v>
      </c>
      <c r="I12" s="2">
        <f t="shared" si="0"/>
        <v>1.3333333333333334E-2</v>
      </c>
      <c r="J12" s="2">
        <f t="shared" si="0"/>
        <v>1.6666666666666666E-2</v>
      </c>
      <c r="K12" s="2">
        <f t="shared" si="0"/>
        <v>0.02</v>
      </c>
      <c r="L12" s="2">
        <f t="shared" si="0"/>
        <v>2.3333333333333334E-2</v>
      </c>
      <c r="M12" s="2">
        <f t="shared" si="0"/>
        <v>2.6666666666666668E-2</v>
      </c>
      <c r="N12" s="2">
        <f t="shared" si="0"/>
        <v>3.0000000000000002E-2</v>
      </c>
      <c r="O12" s="2">
        <f t="shared" si="0"/>
        <v>3.3333333333333333E-2</v>
      </c>
      <c r="P12" s="2">
        <f t="shared" si="0"/>
        <v>3.6666666666666667E-2</v>
      </c>
      <c r="Q12" s="2">
        <f t="shared" si="0"/>
        <v>0.04</v>
      </c>
      <c r="R12" s="2">
        <f t="shared" si="0"/>
        <v>4.3333333333333335E-2</v>
      </c>
      <c r="S12" s="2">
        <f t="shared" si="0"/>
        <v>4.6666666666666669E-2</v>
      </c>
      <c r="T12" s="2">
        <f t="shared" si="0"/>
        <v>0.05</v>
      </c>
      <c r="U12" s="2">
        <f t="shared" si="0"/>
        <v>5.3333333333333337E-2</v>
      </c>
      <c r="V12" s="2">
        <f t="shared" si="0"/>
        <v>5.6666666666666671E-2</v>
      </c>
      <c r="W12" s="2">
        <f t="shared" si="0"/>
        <v>6.0000000000000005E-2</v>
      </c>
      <c r="X12" s="2">
        <f t="shared" si="0"/>
        <v>6.3333333333333339E-2</v>
      </c>
      <c r="Y12" s="2">
        <f t="shared" si="0"/>
        <v>6.6666666666666666E-2</v>
      </c>
      <c r="Z12" s="2">
        <f t="shared" si="0"/>
        <v>6.9999999999999993E-2</v>
      </c>
      <c r="AA12" s="2">
        <f t="shared" si="0"/>
        <v>7.333333333333332E-2</v>
      </c>
      <c r="AB12" s="2">
        <f t="shared" si="0"/>
        <v>7.6666666666666647E-2</v>
      </c>
      <c r="AC12" s="2">
        <f t="shared" si="0"/>
        <v>7.9999999999999974E-2</v>
      </c>
      <c r="AD12" s="2">
        <f t="shared" si="0"/>
        <v>8.3333333333333301E-2</v>
      </c>
      <c r="AE12" s="2">
        <f t="shared" si="0"/>
        <v>8.6666666666666628E-2</v>
      </c>
      <c r="AF12" s="2">
        <f t="shared" si="0"/>
        <v>8.9999999999999955E-2</v>
      </c>
      <c r="AG12" s="2">
        <f t="shared" si="0"/>
        <v>9.3333333333333282E-2</v>
      </c>
      <c r="AH12" s="2">
        <f t="shared" si="0"/>
        <v>9.6666666666666609E-2</v>
      </c>
      <c r="AI12" s="2">
        <f t="shared" si="0"/>
        <v>9.9999999999999936E-2</v>
      </c>
    </row>
    <row r="13" spans="2:35" x14ac:dyDescent="0.3">
      <c r="B13" s="1" t="s">
        <v>14</v>
      </c>
      <c r="C13" s="1">
        <v>300</v>
      </c>
      <c r="D13" t="s">
        <v>7</v>
      </c>
      <c r="E13" s="3">
        <f>C13</f>
        <v>300</v>
      </c>
      <c r="F13">
        <v>291.64124091174699</v>
      </c>
      <c r="G13">
        <v>283.28248182349404</v>
      </c>
      <c r="H13">
        <v>274.99770154929774</v>
      </c>
      <c r="I13">
        <v>266.71292127510145</v>
      </c>
      <c r="J13">
        <v>258.57286085998851</v>
      </c>
      <c r="K13">
        <v>250.43280044487551</v>
      </c>
      <c r="L13">
        <v>242.5018676868479</v>
      </c>
      <c r="M13">
        <v>234.57093492882029</v>
      </c>
      <c r="N13">
        <v>226.90438712839546</v>
      </c>
      <c r="O13">
        <v>219.23783932797062</v>
      </c>
      <c r="P13">
        <v>211.87936779387655</v>
      </c>
      <c r="Q13">
        <v>204.52089625978243</v>
      </c>
      <c r="R13">
        <v>197.50071822337651</v>
      </c>
      <c r="S13">
        <v>190.48054018697047</v>
      </c>
      <c r="T13">
        <v>183.81408126987193</v>
      </c>
      <c r="U13">
        <v>177.14762235277325</v>
      </c>
      <c r="V13">
        <v>170.83484663319439</v>
      </c>
      <c r="W13">
        <v>164.52207091361541</v>
      </c>
      <c r="X13">
        <v>158.5474871375651</v>
      </c>
      <c r="Y13">
        <v>152.57290336151465</v>
      </c>
      <c r="Z13">
        <v>146.90624622490043</v>
      </c>
      <c r="AA13">
        <v>141.2395890882861</v>
      </c>
      <c r="AB13">
        <v>135.83714508149424</v>
      </c>
      <c r="AC13">
        <v>130.43470107470228</v>
      </c>
      <c r="AD13">
        <v>125.24122040691391</v>
      </c>
      <c r="AE13">
        <v>120.04773973912546</v>
      </c>
      <c r="AF13">
        <v>114.99885053412621</v>
      </c>
      <c r="AG13">
        <v>109.94996132912689</v>
      </c>
      <c r="AH13">
        <v>104.97498066456345</v>
      </c>
      <c r="AI13" s="3">
        <f>C14</f>
        <v>100</v>
      </c>
    </row>
    <row r="14" spans="2:35" x14ac:dyDescent="0.3">
      <c r="B14" s="1" t="s">
        <v>8</v>
      </c>
      <c r="C14" s="1">
        <v>100</v>
      </c>
    </row>
    <row r="15" spans="2:35" x14ac:dyDescent="0.3">
      <c r="D15" t="s">
        <v>10</v>
      </c>
      <c r="F15">
        <f>F13+(($C$10*$C$5)/($C$9*$C$8))*((G13-2*F13+E13)/($C$4^2))</f>
        <v>291.64124091174699</v>
      </c>
      <c r="G15">
        <f>G13+(($C$10*$C$5)/($C$9*$C$8))*((H13-2*G13+F13)/($C$4^2))</f>
        <v>283.31947123052237</v>
      </c>
      <c r="H15">
        <f t="shared" ref="H15:AH15" si="1">H13+(($C$10*$C$5)/($C$9*$C$8))*((I13-2*H13+G13)/($C$4^2))</f>
        <v>274.99770154929774</v>
      </c>
      <c r="I15">
        <f t="shared" si="1"/>
        <v>266.78528120464313</v>
      </c>
      <c r="J15">
        <f t="shared" si="1"/>
        <v>258.57286085998851</v>
      </c>
      <c r="K15">
        <f t="shared" si="1"/>
        <v>250.53736427341821</v>
      </c>
      <c r="L15">
        <f t="shared" si="1"/>
        <v>242.5018676868479</v>
      </c>
      <c r="M15">
        <f t="shared" si="1"/>
        <v>234.70312740762168</v>
      </c>
      <c r="N15">
        <f t="shared" si="1"/>
        <v>226.90438712839546</v>
      </c>
      <c r="O15">
        <f t="shared" si="1"/>
        <v>219.391877461136</v>
      </c>
      <c r="P15">
        <f t="shared" si="1"/>
        <v>211.87936779387653</v>
      </c>
      <c r="Q15">
        <f t="shared" si="1"/>
        <v>204.69004300862653</v>
      </c>
      <c r="R15">
        <f t="shared" si="1"/>
        <v>197.50071822337645</v>
      </c>
      <c r="S15">
        <f t="shared" si="1"/>
        <v>190.65739974662421</v>
      </c>
      <c r="T15">
        <f t="shared" si="1"/>
        <v>183.81408126987185</v>
      </c>
      <c r="U15">
        <f t="shared" si="1"/>
        <v>177.32446395153318</v>
      </c>
      <c r="V15">
        <f t="shared" si="1"/>
        <v>170.83484663319433</v>
      </c>
      <c r="W15">
        <f t="shared" si="1"/>
        <v>164.69116688537974</v>
      </c>
      <c r="X15">
        <f t="shared" si="1"/>
        <v>158.54748713756504</v>
      </c>
      <c r="Y15">
        <f t="shared" si="1"/>
        <v>152.72686668123276</v>
      </c>
      <c r="Z15">
        <f t="shared" si="1"/>
        <v>146.90624622490037</v>
      </c>
      <c r="AA15">
        <f t="shared" si="1"/>
        <v>141.37169565319732</v>
      </c>
      <c r="AB15">
        <f t="shared" si="1"/>
        <v>135.83714508149419</v>
      </c>
      <c r="AC15">
        <f t="shared" si="1"/>
        <v>130.53918274420408</v>
      </c>
      <c r="AD15">
        <f t="shared" si="1"/>
        <v>125.24122040691387</v>
      </c>
      <c r="AE15">
        <f t="shared" si="1"/>
        <v>120.12003547052007</v>
      </c>
      <c r="AF15">
        <f t="shared" si="1"/>
        <v>114.99885053412618</v>
      </c>
      <c r="AG15">
        <f t="shared" si="1"/>
        <v>109.98691559934483</v>
      </c>
      <c r="AH15">
        <f t="shared" si="1"/>
        <v>104.97498066456345</v>
      </c>
    </row>
    <row r="19" spans="31:31" x14ac:dyDescent="0.3">
      <c r="AE19" t="s">
        <v>11</v>
      </c>
    </row>
  </sheetData>
  <conditionalFormatting sqref="E13:AI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B484-40D0-4C02-B48A-D580605B61B6}">
  <sheetPr codeName="Sheet3"/>
  <dimension ref="B3:AI19"/>
  <sheetViews>
    <sheetView tabSelected="1" zoomScale="78" zoomScaleNormal="78" workbookViewId="0">
      <selection activeCell="E13" sqref="E13"/>
    </sheetView>
  </sheetViews>
  <sheetFormatPr defaultRowHeight="14.4" x14ac:dyDescent="0.3"/>
  <sheetData>
    <row r="3" spans="2:35" x14ac:dyDescent="0.3">
      <c r="B3" s="1" t="s">
        <v>0</v>
      </c>
      <c r="C3" s="1">
        <v>0.1</v>
      </c>
    </row>
    <row r="4" spans="2:35" x14ac:dyDescent="0.3">
      <c r="B4" s="1" t="s">
        <v>1</v>
      </c>
      <c r="C4" s="4">
        <f>C3/30</f>
        <v>3.3333333333333335E-3</v>
      </c>
    </row>
    <row r="5" spans="2:35" x14ac:dyDescent="0.3">
      <c r="B5" s="1" t="s">
        <v>2</v>
      </c>
      <c r="C5" s="4">
        <f>(C9*C8*C4^2)/(2*C10)</f>
        <v>0.44296296296296306</v>
      </c>
    </row>
    <row r="6" spans="2:35" x14ac:dyDescent="0.3">
      <c r="B6" s="1" t="s">
        <v>3</v>
      </c>
      <c r="C6" s="1">
        <v>1000</v>
      </c>
      <c r="D6">
        <v>1000.2103703703706</v>
      </c>
    </row>
    <row r="7" spans="2:35" x14ac:dyDescent="0.3">
      <c r="B7" s="6"/>
      <c r="C7" s="6"/>
    </row>
    <row r="8" spans="2:35" x14ac:dyDescent="0.3">
      <c r="B8" s="5" t="s">
        <v>4</v>
      </c>
      <c r="C8" s="5">
        <v>460</v>
      </c>
    </row>
    <row r="9" spans="2:35" x14ac:dyDescent="0.3">
      <c r="B9" s="1" t="s">
        <v>5</v>
      </c>
      <c r="C9" s="1">
        <v>7800</v>
      </c>
    </row>
    <row r="10" spans="2:35" x14ac:dyDescent="0.3">
      <c r="B10" s="1" t="s">
        <v>6</v>
      </c>
      <c r="C10" s="1">
        <v>45</v>
      </c>
    </row>
    <row r="11" spans="2:35" x14ac:dyDescent="0.3">
      <c r="B11" s="7" t="s">
        <v>17</v>
      </c>
      <c r="C11" s="7">
        <v>90</v>
      </c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U11" s="1">
        <v>17</v>
      </c>
      <c r="V11" s="1">
        <v>18</v>
      </c>
      <c r="W11" s="1">
        <v>19</v>
      </c>
      <c r="X11" s="1">
        <v>20</v>
      </c>
      <c r="Y11" s="1">
        <v>21</v>
      </c>
      <c r="Z11" s="1">
        <v>22</v>
      </c>
      <c r="AA11" s="1">
        <v>23</v>
      </c>
      <c r="AB11" s="1">
        <v>24</v>
      </c>
      <c r="AC11" s="1">
        <v>25</v>
      </c>
      <c r="AD11" s="1">
        <v>26</v>
      </c>
      <c r="AE11" s="1">
        <v>27</v>
      </c>
      <c r="AF11" s="1">
        <v>28</v>
      </c>
      <c r="AG11" s="1">
        <v>29</v>
      </c>
      <c r="AH11" s="1">
        <v>30</v>
      </c>
      <c r="AI11" s="1">
        <v>31</v>
      </c>
    </row>
    <row r="12" spans="2:35" x14ac:dyDescent="0.3">
      <c r="D12" t="s">
        <v>0</v>
      </c>
      <c r="E12" s="2">
        <v>0</v>
      </c>
      <c r="F12" s="2">
        <f>E12+$C$4</f>
        <v>3.3333333333333335E-3</v>
      </c>
      <c r="G12" s="2">
        <f t="shared" ref="G12:AI12" si="0">F12+$C$4</f>
        <v>6.6666666666666671E-3</v>
      </c>
      <c r="H12" s="2">
        <f t="shared" si="0"/>
        <v>0.01</v>
      </c>
      <c r="I12" s="2">
        <f t="shared" si="0"/>
        <v>1.3333333333333334E-2</v>
      </c>
      <c r="J12" s="2">
        <f t="shared" si="0"/>
        <v>1.6666666666666666E-2</v>
      </c>
      <c r="K12" s="2">
        <f t="shared" si="0"/>
        <v>0.02</v>
      </c>
      <c r="L12" s="2">
        <f t="shared" si="0"/>
        <v>2.3333333333333334E-2</v>
      </c>
      <c r="M12" s="2">
        <f t="shared" si="0"/>
        <v>2.6666666666666668E-2</v>
      </c>
      <c r="N12" s="2">
        <f t="shared" si="0"/>
        <v>3.0000000000000002E-2</v>
      </c>
      <c r="O12" s="2">
        <f t="shared" si="0"/>
        <v>3.3333333333333333E-2</v>
      </c>
      <c r="P12" s="2">
        <f t="shared" si="0"/>
        <v>3.6666666666666667E-2</v>
      </c>
      <c r="Q12" s="2">
        <f t="shared" si="0"/>
        <v>0.04</v>
      </c>
      <c r="R12" s="2">
        <f t="shared" si="0"/>
        <v>4.3333333333333335E-2</v>
      </c>
      <c r="S12" s="2">
        <f t="shared" si="0"/>
        <v>4.6666666666666669E-2</v>
      </c>
      <c r="T12" s="2">
        <f t="shared" si="0"/>
        <v>0.05</v>
      </c>
      <c r="U12" s="2">
        <f t="shared" si="0"/>
        <v>5.3333333333333337E-2</v>
      </c>
      <c r="V12" s="2">
        <f t="shared" si="0"/>
        <v>5.6666666666666671E-2</v>
      </c>
      <c r="W12" s="2">
        <f t="shared" si="0"/>
        <v>6.0000000000000005E-2</v>
      </c>
      <c r="X12" s="2">
        <f t="shared" si="0"/>
        <v>6.3333333333333339E-2</v>
      </c>
      <c r="Y12" s="2">
        <f t="shared" si="0"/>
        <v>6.6666666666666666E-2</v>
      </c>
      <c r="Z12" s="2">
        <f t="shared" si="0"/>
        <v>6.9999999999999993E-2</v>
      </c>
      <c r="AA12" s="2">
        <f t="shared" si="0"/>
        <v>7.333333333333332E-2</v>
      </c>
      <c r="AB12" s="2">
        <f t="shared" si="0"/>
        <v>7.6666666666666647E-2</v>
      </c>
      <c r="AC12" s="2">
        <f t="shared" si="0"/>
        <v>7.9999999999999974E-2</v>
      </c>
      <c r="AD12" s="2">
        <f t="shared" si="0"/>
        <v>8.3333333333333301E-2</v>
      </c>
      <c r="AE12" s="2">
        <f t="shared" si="0"/>
        <v>8.6666666666666628E-2</v>
      </c>
      <c r="AF12" s="2">
        <f t="shared" si="0"/>
        <v>8.9999999999999955E-2</v>
      </c>
      <c r="AG12" s="2">
        <f t="shared" si="0"/>
        <v>9.3333333333333282E-2</v>
      </c>
      <c r="AH12" s="2">
        <f t="shared" si="0"/>
        <v>9.6666666666666609E-2</v>
      </c>
      <c r="AI12" s="2">
        <f t="shared" si="0"/>
        <v>9.9999999999999936E-2</v>
      </c>
    </row>
    <row r="13" spans="2:35" x14ac:dyDescent="0.3">
      <c r="B13" s="1" t="s">
        <v>16</v>
      </c>
      <c r="C13" s="1">
        <v>100</v>
      </c>
      <c r="D13" t="s">
        <v>7</v>
      </c>
      <c r="E13" s="3">
        <f>((E16/C10)*C4)+F13</f>
        <v>136.96757626838016</v>
      </c>
      <c r="F13">
        <v>135.63424293504681</v>
      </c>
      <c r="G13">
        <v>134.30950541824609</v>
      </c>
      <c r="H13">
        <v>132.99333902511762</v>
      </c>
      <c r="I13">
        <v>131.68569574456728</v>
      </c>
      <c r="J13">
        <v>130.38650178887787</v>
      </c>
      <c r="K13">
        <v>129.09566165780382</v>
      </c>
      <c r="L13">
        <v>127.81305333756603</v>
      </c>
      <c r="M13">
        <v>126.53853487773536</v>
      </c>
      <c r="N13">
        <v>125.27193747387319</v>
      </c>
      <c r="O13">
        <v>124.01307427153482</v>
      </c>
      <c r="P13">
        <v>122.76173165897572</v>
      </c>
      <c r="Q13">
        <v>121.51767991639586</v>
      </c>
      <c r="R13">
        <v>120.28066313038076</v>
      </c>
      <c r="S13">
        <v>119.05041122737529</v>
      </c>
      <c r="T13">
        <v>117.82662898796707</v>
      </c>
      <c r="U13">
        <v>116.60900894505079</v>
      </c>
      <c r="V13">
        <v>115.39722002064075</v>
      </c>
      <c r="W13">
        <v>114.19092073386282</v>
      </c>
      <c r="X13">
        <v>112.98974800364306</v>
      </c>
      <c r="Y13">
        <v>111.79333010109966</v>
      </c>
      <c r="Z13">
        <v>110.60127615722104</v>
      </c>
      <c r="AA13">
        <v>109.41318830886189</v>
      </c>
      <c r="AB13">
        <v>108.22865242155191</v>
      </c>
      <c r="AC13">
        <v>107.0472489174322</v>
      </c>
      <c r="AD13">
        <v>105.86854517090131</v>
      </c>
      <c r="AE13">
        <v>104.69210456866222</v>
      </c>
      <c r="AF13">
        <v>103.51748096235693</v>
      </c>
      <c r="AG13">
        <v>102.34422559260949</v>
      </c>
      <c r="AH13">
        <v>101.17188389142555</v>
      </c>
      <c r="AI13" s="3">
        <f>C13</f>
        <v>100</v>
      </c>
    </row>
    <row r="14" spans="2:35" x14ac:dyDescent="0.3">
      <c r="B14" s="1" t="s">
        <v>8</v>
      </c>
      <c r="C14" s="1">
        <v>300</v>
      </c>
    </row>
    <row r="15" spans="2:35" x14ac:dyDescent="0.3">
      <c r="D15" t="s">
        <v>10</v>
      </c>
      <c r="F15">
        <f>F13+(($C$10*$C$5)/($C$9*$C$8))*((G13-2*F13+E13)/($C$4^2))</f>
        <v>135.63854084331314</v>
      </c>
      <c r="G15">
        <f>G13+(($C$10*$C$5)/($C$9*$C$8))*((H13-2*G13+F13)/($C$4^2))</f>
        <v>134.31379098008222</v>
      </c>
      <c r="H15">
        <f t="shared" ref="H15:AI15" si="1">H13+(($C$10*$C$5)/($C$9*$C$8))*((I13-2*H13+G13)/($C$4^2))</f>
        <v>132.99760058140669</v>
      </c>
      <c r="I15">
        <f t="shared" si="1"/>
        <v>131.68992040699774</v>
      </c>
      <c r="J15">
        <f t="shared" si="1"/>
        <v>130.39067870118555</v>
      </c>
      <c r="K15">
        <f t="shared" si="1"/>
        <v>129.09977756322195</v>
      </c>
      <c r="L15">
        <f t="shared" si="1"/>
        <v>127.81709826776958</v>
      </c>
      <c r="M15">
        <f t="shared" si="1"/>
        <v>126.54249540571962</v>
      </c>
      <c r="N15">
        <f t="shared" si="1"/>
        <v>125.27580457463509</v>
      </c>
      <c r="O15">
        <f t="shared" si="1"/>
        <v>124.01683456642445</v>
      </c>
      <c r="P15">
        <f t="shared" si="1"/>
        <v>122.76537709396534</v>
      </c>
      <c r="Q15">
        <f t="shared" si="1"/>
        <v>121.52119739467824</v>
      </c>
      <c r="R15">
        <f t="shared" si="1"/>
        <v>120.28404557188557</v>
      </c>
      <c r="S15">
        <f t="shared" si="1"/>
        <v>119.05364605917391</v>
      </c>
      <c r="T15">
        <f t="shared" si="1"/>
        <v>117.82971008621304</v>
      </c>
      <c r="U15">
        <f t="shared" si="1"/>
        <v>116.61192450430391</v>
      </c>
      <c r="V15">
        <f t="shared" si="1"/>
        <v>115.3999648394568</v>
      </c>
      <c r="W15">
        <f t="shared" si="1"/>
        <v>114.19348401214191</v>
      </c>
      <c r="X15">
        <f t="shared" si="1"/>
        <v>112.99212541748125</v>
      </c>
      <c r="Y15">
        <f t="shared" si="1"/>
        <v>111.79551208043205</v>
      </c>
      <c r="Z15">
        <f t="shared" si="1"/>
        <v>110.60325920498077</v>
      </c>
      <c r="AA15">
        <f t="shared" si="1"/>
        <v>109.41496428938648</v>
      </c>
      <c r="AB15">
        <f t="shared" si="1"/>
        <v>108.23021861314704</v>
      </c>
      <c r="AC15">
        <f t="shared" si="1"/>
        <v>107.04859879622661</v>
      </c>
      <c r="AD15">
        <f t="shared" si="1"/>
        <v>105.86967674304721</v>
      </c>
      <c r="AE15">
        <f t="shared" si="1"/>
        <v>104.69301306662912</v>
      </c>
      <c r="AF15">
        <f t="shared" si="1"/>
        <v>103.51816508063585</v>
      </c>
      <c r="AG15">
        <f t="shared" si="1"/>
        <v>102.34468242689124</v>
      </c>
      <c r="AH15">
        <f t="shared" si="1"/>
        <v>101.17211279630475</v>
      </c>
      <c r="AI15">
        <f t="shared" si="1"/>
        <v>50.585941945712776</v>
      </c>
    </row>
    <row r="16" spans="2:35" x14ac:dyDescent="0.3">
      <c r="D16" t="s">
        <v>15</v>
      </c>
      <c r="E16">
        <f>C11*(C14-C13)</f>
        <v>18000</v>
      </c>
      <c r="F16">
        <f>-$C$10*((F13-E13)/($C$4))</f>
        <v>18000.000000000127</v>
      </c>
      <c r="G16">
        <f t="shared" ref="G16:AG16" si="2">-$C$10*((G13-F13)/($C$4))</f>
        <v>17883.95647680977</v>
      </c>
      <c r="H16">
        <f t="shared" si="2"/>
        <v>17768.246307234334</v>
      </c>
      <c r="I16">
        <f t="shared" si="2"/>
        <v>17653.184287429554</v>
      </c>
      <c r="J16">
        <f t="shared" si="2"/>
        <v>17539.118401807144</v>
      </c>
      <c r="K16">
        <f t="shared" si="2"/>
        <v>17426.341769499657</v>
      </c>
      <c r="L16">
        <f t="shared" si="2"/>
        <v>17315.212323210089</v>
      </c>
      <c r="M16">
        <f t="shared" si="2"/>
        <v>17205.999207714092</v>
      </c>
      <c r="N16">
        <f t="shared" si="2"/>
        <v>17099.064952139215</v>
      </c>
      <c r="O16">
        <f t="shared" si="2"/>
        <v>16994.653231568067</v>
      </c>
      <c r="P16">
        <f t="shared" si="2"/>
        <v>16893.125269547843</v>
      </c>
      <c r="Q16">
        <f t="shared" si="2"/>
        <v>16794.698524828058</v>
      </c>
      <c r="R16">
        <f t="shared" si="2"/>
        <v>16699.726611203907</v>
      </c>
      <c r="S16">
        <f t="shared" si="2"/>
        <v>16608.400690573802</v>
      </c>
      <c r="T16">
        <f t="shared" si="2"/>
        <v>16521.060232011008</v>
      </c>
      <c r="U16">
        <f t="shared" si="2"/>
        <v>16437.870579369785</v>
      </c>
      <c r="V16">
        <f t="shared" si="2"/>
        <v>16359.150479535592</v>
      </c>
      <c r="W16">
        <f t="shared" si="2"/>
        <v>16285.040371501922</v>
      </c>
      <c r="X16">
        <f t="shared" si="2"/>
        <v>16215.831857966854</v>
      </c>
      <c r="Y16">
        <f t="shared" si="2"/>
        <v>16151.641684335927</v>
      </c>
      <c r="Z16">
        <f t="shared" si="2"/>
        <v>16092.72824236136</v>
      </c>
      <c r="AA16">
        <f t="shared" si="2"/>
        <v>16039.185952848471</v>
      </c>
      <c r="AB16">
        <f t="shared" si="2"/>
        <v>15991.234478684688</v>
      </c>
      <c r="AC16">
        <f t="shared" si="2"/>
        <v>15948.947305616144</v>
      </c>
      <c r="AD16">
        <f t="shared" si="2"/>
        <v>15912.500578166955</v>
      </c>
      <c r="AE16">
        <f t="shared" si="2"/>
        <v>15881.948130227813</v>
      </c>
      <c r="AF16">
        <f t="shared" si="2"/>
        <v>15857.418685121402</v>
      </c>
      <c r="AG16">
        <f t="shared" si="2"/>
        <v>15838.947491590403</v>
      </c>
      <c r="AH16">
        <f>-$C$10*((AH13-AG13)/($C$4))</f>
        <v>15826.612965983173</v>
      </c>
      <c r="AI16">
        <f>-$C$10*((AI13-AH13)/($C$4))</f>
        <v>15820.432534244943</v>
      </c>
    </row>
    <row r="19" spans="31:31" x14ac:dyDescent="0.3">
      <c r="AE19" t="s">
        <v>11</v>
      </c>
    </row>
  </sheetData>
  <conditionalFormatting sqref="E13:AI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2021-03-01T09:05:09Z</dcterms:created>
  <dcterms:modified xsi:type="dcterms:W3CDTF">2021-03-09T20:04:06Z</dcterms:modified>
</cp:coreProperties>
</file>