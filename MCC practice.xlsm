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13_ncr:1_{068AEDF4-6655-4C57-8C42-582476768B2C}" xr6:coauthVersionLast="46" xr6:coauthVersionMax="46" xr10:uidLastSave="{00000000-0000-0000-0000-000000000000}"/>
  <bookViews>
    <workbookView xWindow="-108" yWindow="-108" windowWidth="23256" windowHeight="12576" xr2:uid="{6574C0C4-5B7A-4D23-ADA2-8C43C0CB323A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1" l="1"/>
  <c r="F16" i="1" s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G15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F12" i="1"/>
  <c r="AH15" i="1"/>
  <c r="AI13" i="1"/>
  <c r="C4" i="1"/>
  <c r="C5" i="1" s="1"/>
  <c r="F15" i="1" l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</calcChain>
</file>

<file path=xl/sharedStrings.xml><?xml version="1.0" encoding="utf-8"?>
<sst xmlns="http://schemas.openxmlformats.org/spreadsheetml/2006/main" count="15" uniqueCount="14">
  <si>
    <t>L</t>
  </si>
  <si>
    <t>dx</t>
  </si>
  <si>
    <t>dt</t>
  </si>
  <si>
    <t>t</t>
  </si>
  <si>
    <t>Cp</t>
  </si>
  <si>
    <t>ro</t>
  </si>
  <si>
    <t>lamda</t>
  </si>
  <si>
    <t>T</t>
  </si>
  <si>
    <t>T_end</t>
  </si>
  <si>
    <t>100+V:VE11:Z16</t>
  </si>
  <si>
    <t>T_inter</t>
  </si>
  <si>
    <t xml:space="preserve"> </t>
  </si>
  <si>
    <t>q</t>
  </si>
  <si>
    <t>q_start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</si>
</sst>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2" xfId="0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Sheet1!$E$12:$AI$12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Sheet1!$E$13:$AI$13</c:f>
              <c:numCache>
                <c:formatCode>General</c:formatCode>
                <c:ptCount val="31"/>
                <c:pt idx="0">
                  <c:v>304.44441211600338</c:v>
                </c:pt>
                <c:pt idx="1">
                  <c:v>297.62959730118854</c:v>
                </c:pt>
                <c:pt idx="2">
                  <c:v>290.81478257801217</c:v>
                </c:pt>
                <c:pt idx="3">
                  <c:v>283.99996794621461</c:v>
                </c:pt>
                <c:pt idx="4">
                  <c:v>277.18515340527688</c:v>
                </c:pt>
                <c:pt idx="5">
                  <c:v>270.37033895442278</c:v>
                </c:pt>
                <c:pt idx="6">
                  <c:v>263.5555245926206</c:v>
                </c:pt>
                <c:pt idx="7">
                  <c:v>256.74071031858625</c:v>
                </c:pt>
                <c:pt idx="8">
                  <c:v>249.92589613078675</c:v>
                </c:pt>
                <c:pt idx="9">
                  <c:v>243.11108202744487</c:v>
                </c:pt>
                <c:pt idx="10">
                  <c:v>236.29626800654376</c:v>
                </c:pt>
                <c:pt idx="11">
                  <c:v>229.48145406583308</c:v>
                </c:pt>
                <c:pt idx="12">
                  <c:v>222.66664020283497</c:v>
                </c:pt>
                <c:pt idx="13">
                  <c:v>215.85182641485153</c:v>
                </c:pt>
                <c:pt idx="14">
                  <c:v>209.03701269897198</c:v>
                </c:pt>
                <c:pt idx="15">
                  <c:v>202.22219905208135</c:v>
                </c:pt>
                <c:pt idx="16">
                  <c:v>195.407385470869</c:v>
                </c:pt>
                <c:pt idx="17">
                  <c:v>188.59257195183812</c:v>
                </c:pt>
                <c:pt idx="18">
                  <c:v>181.77775849131575</c:v>
                </c:pt>
                <c:pt idx="19">
                  <c:v>174.96294508546293</c:v>
                </c:pt>
                <c:pt idx="20">
                  <c:v>168.14813173028585</c:v>
                </c:pt>
                <c:pt idx="21">
                  <c:v>161.33331842164694</c:v>
                </c:pt>
                <c:pt idx="22">
                  <c:v>154.5185051552769</c:v>
                </c:pt>
                <c:pt idx="23">
                  <c:v>147.70369192678635</c:v>
                </c:pt>
                <c:pt idx="24">
                  <c:v>140.8888787316788</c:v>
                </c:pt>
                <c:pt idx="25">
                  <c:v>134.0740655653629</c:v>
                </c:pt>
                <c:pt idx="26">
                  <c:v>127.25925242316595</c:v>
                </c:pt>
                <c:pt idx="27">
                  <c:v>120.44443930034656</c:v>
                </c:pt>
                <c:pt idx="28">
                  <c:v>113.62962619210873</c:v>
                </c:pt>
                <c:pt idx="29">
                  <c:v>106.81481309361489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24-4595-B314-892506371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207800"/>
        <c:axId val="559216440"/>
      </c:scatterChart>
      <c:valAx>
        <c:axId val="5592078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9216440"/>
        <c:crosses val="autoZero"/>
        <c:crossBetween val="midCat"/>
      </c:valAx>
      <c:valAx>
        <c:axId val="559216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920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163286</xdr:colOff>
      <xdr:row>17</xdr:row>
      <xdr:rowOff>103414</xdr:rowOff>
    </xdr:from>
    <xdr:to>
      <xdr:col>29</xdr:col>
      <xdr:colOff>54429</xdr:colOff>
      <xdr:row>32</xdr:row>
      <xdr:rowOff>70756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B179C4-B242-48FA-AA8F-E0B2B5506F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28</xdr:col>
      <xdr:colOff>130628</xdr:colOff>
      <xdr:row>30</xdr:row>
      <xdr:rowOff>125185</xdr:rowOff>
    </xdr:from>
    <xdr:ext cx="43543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6C4CE36-9F7F-409F-86BD-2D9C6D9086CC}"/>
                </a:ext>
              </a:extLst>
            </xdr:cNvPr>
            <xdr:cNvSpPr txBox="1"/>
          </xdr:nvSpPr>
          <xdr:spPr>
            <a:xfrm>
              <a:off x="16655142" y="5676899"/>
              <a:ext cx="435430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150" sz="1400" b="0"/>
                <a:t>L</a:t>
              </a:r>
              <a14:m>
                <m:oMath xmlns:m="http://schemas.openxmlformats.org/officeDocument/2006/math">
                  <m:r>
                    <a:rPr lang="en-150" sz="1400" b="0" i="1">
                      <a:latin typeface="Cambria Math" panose="02040503050406030204" pitchFamily="18" charset="0"/>
                    </a:rPr>
                    <m:t>[</m:t>
                  </m:r>
                  <m:r>
                    <a:rPr lang="en-150" sz="14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150" sz="14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6C4CE36-9F7F-409F-86BD-2D9C6D9086CC}"/>
                </a:ext>
              </a:extLst>
            </xdr:cNvPr>
            <xdr:cNvSpPr txBox="1"/>
          </xdr:nvSpPr>
          <xdr:spPr>
            <a:xfrm>
              <a:off x="16655142" y="5676899"/>
              <a:ext cx="435430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150" sz="1400" b="0"/>
                <a:t>L</a:t>
              </a:r>
              <a:r>
                <a:rPr lang="en-150" sz="1400" b="0" i="0">
                  <a:latin typeface="Cambria Math" panose="02040503050406030204" pitchFamily="18" charset="0"/>
                </a:rPr>
                <a:t>[𝑚]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0.01111</cdr:x>
      <cdr:y>0.01852</cdr:y>
    </cdr:from>
    <cdr:to>
      <cdr:x>0.10635</cdr:x>
      <cdr:y>0.09841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A6C4CE36-9F7F-409F-86BD-2D9C6D9086CC}"/>
                </a:ext>
              </a:extLst>
            </cdr:cNvPr>
            <cdr:cNvSpPr txBox="1"/>
          </cdr:nvSpPr>
          <cdr:spPr>
            <a:xfrm xmlns:a="http://schemas.openxmlformats.org/drawingml/2006/main">
              <a:off x="50800" y="50800"/>
              <a:ext cx="435430" cy="2191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150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150" sz="1400" b="0" i="1">
                        <a:latin typeface="Cambria Math" panose="02040503050406030204" pitchFamily="18" charset="0"/>
                      </a:rPr>
                      <m:t>[</m:t>
                    </m:r>
                    <m:r>
                      <a:rPr lang="en-150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150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cdr:txBody>
        </cdr:sp>
      </mc:Choice>
      <mc:Fallback xmlns="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A6C4CE36-9F7F-409F-86BD-2D9C6D9086CC}"/>
                </a:ext>
              </a:extLst>
            </cdr:cNvPr>
            <cdr:cNvSpPr txBox="1"/>
          </cdr:nvSpPr>
          <cdr:spPr>
            <a:xfrm xmlns:a="http://schemas.openxmlformats.org/drawingml/2006/main">
              <a:off x="50800" y="50800"/>
              <a:ext cx="435430" cy="2191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150" sz="1400" b="0" i="0">
                  <a:latin typeface="Cambria Math" panose="02040503050406030204" pitchFamily="18" charset="0"/>
                </a:rPr>
                <a:t>𝑇[𝐶]</a:t>
              </a:r>
              <a:endParaRPr lang="ru-RU" sz="1400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B198F-AA96-4BF2-B704-E4AD6A417CD4}">
  <sheetPr codeName="Sheet1"/>
  <dimension ref="B1:AI19"/>
  <sheetViews>
    <sheetView tabSelected="1" zoomScale="60" zoomScaleNormal="60" workbookViewId="0">
      <selection activeCell="F13" sqref="F13:AH13"/>
    </sheetView>
  </sheetViews>
  <sheetFormatPr defaultRowHeight="14.4" x14ac:dyDescent="0.3"/>
  <cols>
    <col min="3" max="3" width="10.44140625" bestFit="1" customWidth="1"/>
    <col min="5" max="5" width="7.88671875" customWidth="1"/>
    <col min="6" max="6" width="9.6640625" bestFit="1" customWidth="1"/>
    <col min="7" max="7" width="7.88671875" bestFit="1" customWidth="1"/>
    <col min="18" max="19" width="7.88671875" bestFit="1" customWidth="1"/>
    <col min="20" max="21" width="7.88671875" customWidth="1"/>
    <col min="23" max="24" width="7.88671875" bestFit="1" customWidth="1"/>
    <col min="26" max="26" width="7.88671875" bestFit="1" customWidth="1"/>
    <col min="33" max="34" width="8.88671875" customWidth="1"/>
  </cols>
  <sheetData>
    <row r="1" spans="2:35" x14ac:dyDescent="0.3">
      <c r="V1" t="s">
        <v>9</v>
      </c>
    </row>
    <row r="3" spans="2:35" x14ac:dyDescent="0.3">
      <c r="B3" s="1" t="s">
        <v>0</v>
      </c>
      <c r="C3" s="1">
        <v>0.1</v>
      </c>
    </row>
    <row r="4" spans="2:35" x14ac:dyDescent="0.3">
      <c r="B4" s="1" t="s">
        <v>1</v>
      </c>
      <c r="C4" s="4">
        <f>C3/30</f>
        <v>3.3333333333333335E-3</v>
      </c>
    </row>
    <row r="5" spans="2:35" x14ac:dyDescent="0.3">
      <c r="B5" s="1" t="s">
        <v>2</v>
      </c>
      <c r="C5" s="4">
        <f>(C9*C8*C4^2)/(2*C10)</f>
        <v>0.44296296296296306</v>
      </c>
    </row>
    <row r="6" spans="2:35" x14ac:dyDescent="0.3">
      <c r="B6" s="1" t="s">
        <v>3</v>
      </c>
      <c r="C6" s="1">
        <v>5000</v>
      </c>
      <c r="D6">
        <v>5000.1659259259268</v>
      </c>
    </row>
    <row r="7" spans="2:35" x14ac:dyDescent="0.3">
      <c r="B7" s="6"/>
      <c r="C7" s="6"/>
    </row>
    <row r="8" spans="2:35" x14ac:dyDescent="0.3">
      <c r="B8" s="5" t="s">
        <v>4</v>
      </c>
      <c r="C8" s="5">
        <v>460</v>
      </c>
    </row>
    <row r="9" spans="2:35" x14ac:dyDescent="0.3">
      <c r="B9" s="1" t="s">
        <v>5</v>
      </c>
      <c r="C9" s="1">
        <v>7800</v>
      </c>
    </row>
    <row r="10" spans="2:35" x14ac:dyDescent="0.3">
      <c r="B10" s="1" t="s">
        <v>6</v>
      </c>
      <c r="C10" s="1">
        <v>45</v>
      </c>
    </row>
    <row r="11" spans="2:35" x14ac:dyDescent="0.3">
      <c r="E11" s="1">
        <v>1</v>
      </c>
      <c r="F11" s="1">
        <v>2</v>
      </c>
      <c r="G11" s="1">
        <v>3</v>
      </c>
      <c r="H11" s="1">
        <v>4</v>
      </c>
      <c r="I11" s="1">
        <v>5</v>
      </c>
      <c r="J11" s="1">
        <v>6</v>
      </c>
      <c r="K11" s="1">
        <v>7</v>
      </c>
      <c r="L11" s="1">
        <v>8</v>
      </c>
      <c r="M11" s="1">
        <v>9</v>
      </c>
      <c r="N11" s="1">
        <v>10</v>
      </c>
      <c r="O11" s="1">
        <v>11</v>
      </c>
      <c r="P11" s="1">
        <v>12</v>
      </c>
      <c r="Q11" s="1">
        <v>13</v>
      </c>
      <c r="R11" s="1">
        <v>14</v>
      </c>
      <c r="S11" s="1">
        <v>15</v>
      </c>
      <c r="T11" s="1">
        <v>16</v>
      </c>
      <c r="U11" s="1">
        <v>17</v>
      </c>
      <c r="V11" s="1">
        <v>18</v>
      </c>
      <c r="W11" s="1">
        <v>19</v>
      </c>
      <c r="X11" s="1">
        <v>20</v>
      </c>
      <c r="Y11" s="1">
        <v>21</v>
      </c>
      <c r="Z11" s="1">
        <v>22</v>
      </c>
      <c r="AA11" s="1">
        <v>23</v>
      </c>
      <c r="AB11" s="1">
        <v>24</v>
      </c>
      <c r="AC11" s="1">
        <v>25</v>
      </c>
      <c r="AD11" s="1">
        <v>26</v>
      </c>
      <c r="AE11" s="1">
        <v>27</v>
      </c>
      <c r="AF11" s="1">
        <v>28</v>
      </c>
      <c r="AG11" s="1">
        <v>29</v>
      </c>
      <c r="AH11" s="1">
        <v>30</v>
      </c>
      <c r="AI11" s="1">
        <v>31</v>
      </c>
    </row>
    <row r="12" spans="2:35" x14ac:dyDescent="0.3">
      <c r="D12" t="s">
        <v>0</v>
      </c>
      <c r="E12" s="2">
        <v>0</v>
      </c>
      <c r="F12" s="2">
        <f>E12+$C$4</f>
        <v>3.3333333333333335E-3</v>
      </c>
      <c r="G12" s="2">
        <f t="shared" ref="G12:AI12" si="0">F12+$C$4</f>
        <v>6.6666666666666671E-3</v>
      </c>
      <c r="H12" s="2">
        <f t="shared" si="0"/>
        <v>0.01</v>
      </c>
      <c r="I12" s="2">
        <f t="shared" si="0"/>
        <v>1.3333333333333334E-2</v>
      </c>
      <c r="J12" s="2">
        <f t="shared" si="0"/>
        <v>1.6666666666666666E-2</v>
      </c>
      <c r="K12" s="2">
        <f t="shared" si="0"/>
        <v>0.02</v>
      </c>
      <c r="L12" s="2">
        <f t="shared" si="0"/>
        <v>2.3333333333333334E-2</v>
      </c>
      <c r="M12" s="2">
        <f t="shared" si="0"/>
        <v>2.6666666666666668E-2</v>
      </c>
      <c r="N12" s="2">
        <f t="shared" si="0"/>
        <v>3.0000000000000002E-2</v>
      </c>
      <c r="O12" s="2">
        <f t="shared" si="0"/>
        <v>3.3333333333333333E-2</v>
      </c>
      <c r="P12" s="2">
        <f t="shared" si="0"/>
        <v>3.6666666666666667E-2</v>
      </c>
      <c r="Q12" s="2">
        <f t="shared" si="0"/>
        <v>0.04</v>
      </c>
      <c r="R12" s="2">
        <f t="shared" si="0"/>
        <v>4.3333333333333335E-2</v>
      </c>
      <c r="S12" s="2">
        <f t="shared" si="0"/>
        <v>4.6666666666666669E-2</v>
      </c>
      <c r="T12" s="2">
        <f t="shared" si="0"/>
        <v>0.05</v>
      </c>
      <c r="U12" s="2">
        <f t="shared" si="0"/>
        <v>5.3333333333333337E-2</v>
      </c>
      <c r="V12" s="2">
        <f t="shared" si="0"/>
        <v>5.6666666666666671E-2</v>
      </c>
      <c r="W12" s="2">
        <f t="shared" si="0"/>
        <v>6.0000000000000005E-2</v>
      </c>
      <c r="X12" s="2">
        <f t="shared" si="0"/>
        <v>6.3333333333333339E-2</v>
      </c>
      <c r="Y12" s="2">
        <f t="shared" si="0"/>
        <v>6.6666666666666666E-2</v>
      </c>
      <c r="Z12" s="2">
        <f t="shared" si="0"/>
        <v>6.9999999999999993E-2</v>
      </c>
      <c r="AA12" s="2">
        <f t="shared" si="0"/>
        <v>7.333333333333332E-2</v>
      </c>
      <c r="AB12" s="2">
        <f t="shared" si="0"/>
        <v>7.6666666666666647E-2</v>
      </c>
      <c r="AC12" s="2">
        <f t="shared" si="0"/>
        <v>7.9999999999999974E-2</v>
      </c>
      <c r="AD12" s="2">
        <f t="shared" si="0"/>
        <v>8.3333333333333301E-2</v>
      </c>
      <c r="AE12" s="2">
        <f t="shared" si="0"/>
        <v>8.6666666666666628E-2</v>
      </c>
      <c r="AF12" s="2">
        <f t="shared" si="0"/>
        <v>8.9999999999999955E-2</v>
      </c>
      <c r="AG12" s="2">
        <f t="shared" si="0"/>
        <v>9.3333333333333282E-2</v>
      </c>
      <c r="AH12" s="2">
        <f t="shared" si="0"/>
        <v>9.6666666666666609E-2</v>
      </c>
      <c r="AI12" s="2">
        <f t="shared" si="0"/>
        <v>9.9999999999999936E-2</v>
      </c>
    </row>
    <row r="13" spans="2:35" x14ac:dyDescent="0.3">
      <c r="B13" s="1" t="s">
        <v>13</v>
      </c>
      <c r="C13" s="1">
        <v>92000</v>
      </c>
      <c r="D13" t="s">
        <v>7</v>
      </c>
      <c r="E13" s="3">
        <f>(E16/C10)*C4+F13</f>
        <v>304.44441211600338</v>
      </c>
      <c r="F13">
        <v>297.62959730118854</v>
      </c>
      <c r="G13">
        <v>290.81478257801217</v>
      </c>
      <c r="H13">
        <v>283.99996794621461</v>
      </c>
      <c r="I13">
        <v>277.18515340527688</v>
      </c>
      <c r="J13">
        <v>270.37033895442278</v>
      </c>
      <c r="K13">
        <v>263.5555245926206</v>
      </c>
      <c r="L13">
        <v>256.74071031858625</v>
      </c>
      <c r="M13">
        <v>249.92589613078675</v>
      </c>
      <c r="N13">
        <v>243.11108202744487</v>
      </c>
      <c r="O13">
        <v>236.29626800654376</v>
      </c>
      <c r="P13">
        <v>229.48145406583308</v>
      </c>
      <c r="Q13">
        <v>222.66664020283497</v>
      </c>
      <c r="R13">
        <v>215.85182641485153</v>
      </c>
      <c r="S13">
        <v>209.03701269897198</v>
      </c>
      <c r="T13">
        <v>202.22219905208135</v>
      </c>
      <c r="U13">
        <v>195.407385470869</v>
      </c>
      <c r="V13">
        <v>188.59257195183812</v>
      </c>
      <c r="W13">
        <v>181.77775849131575</v>
      </c>
      <c r="X13">
        <v>174.96294508546293</v>
      </c>
      <c r="Y13">
        <v>168.14813173028585</v>
      </c>
      <c r="Z13">
        <v>161.33331842164694</v>
      </c>
      <c r="AA13">
        <v>154.5185051552769</v>
      </c>
      <c r="AB13">
        <v>147.70369192678635</v>
      </c>
      <c r="AC13">
        <v>140.8888787316788</v>
      </c>
      <c r="AD13">
        <v>134.0740655653629</v>
      </c>
      <c r="AE13">
        <v>127.25925242316595</v>
      </c>
      <c r="AF13">
        <v>120.44443930034656</v>
      </c>
      <c r="AG13">
        <v>113.62962619210873</v>
      </c>
      <c r="AH13">
        <v>106.81481309361489</v>
      </c>
      <c r="AI13" s="3">
        <f>C14</f>
        <v>100</v>
      </c>
    </row>
    <row r="14" spans="2:35" x14ac:dyDescent="0.3">
      <c r="B14" s="1" t="s">
        <v>8</v>
      </c>
      <c r="C14" s="1">
        <v>100</v>
      </c>
    </row>
    <row r="15" spans="2:35" x14ac:dyDescent="0.3">
      <c r="D15" t="s">
        <v>10</v>
      </c>
      <c r="F15">
        <f>F13+(($C$10*$C$5)/($C$9*$C$8))*((G13-2*F13+E13)/($C$4^2))</f>
        <v>297.6295973470078</v>
      </c>
      <c r="G15">
        <f>G13+(($C$10*$C$5)/($C$9*$C$8))*((H13-2*G13+F13)/($C$4^2))</f>
        <v>290.8147826237016</v>
      </c>
      <c r="H15">
        <f t="shared" ref="H15:AG15" si="1">H13+(($C$10*$C$5)/($C$9*$C$8))*((I13-2*H13+G13)/($C$4^2))</f>
        <v>283.99996799164455</v>
      </c>
      <c r="I15">
        <f t="shared" si="1"/>
        <v>277.18515345031869</v>
      </c>
      <c r="J15">
        <f t="shared" si="1"/>
        <v>270.37033899894874</v>
      </c>
      <c r="K15">
        <f t="shared" si="1"/>
        <v>263.55552463650452</v>
      </c>
      <c r="L15">
        <f t="shared" si="1"/>
        <v>256.74071036170369</v>
      </c>
      <c r="M15">
        <f t="shared" si="1"/>
        <v>249.92589617301556</v>
      </c>
      <c r="N15">
        <f t="shared" si="1"/>
        <v>243.11108206866527</v>
      </c>
      <c r="O15">
        <f t="shared" si="1"/>
        <v>236.29626804663897</v>
      </c>
      <c r="P15">
        <f t="shared" si="1"/>
        <v>229.48145410468936</v>
      </c>
      <c r="Q15">
        <f t="shared" si="1"/>
        <v>222.6666402403423</v>
      </c>
      <c r="R15">
        <f t="shared" si="1"/>
        <v>215.85182645090347</v>
      </c>
      <c r="S15">
        <f t="shared" si="1"/>
        <v>209.03701273346644</v>
      </c>
      <c r="T15">
        <f t="shared" si="1"/>
        <v>202.22219908492048</v>
      </c>
      <c r="U15">
        <f t="shared" si="1"/>
        <v>195.40738550195974</v>
      </c>
      <c r="V15">
        <f t="shared" si="1"/>
        <v>188.59257198109236</v>
      </c>
      <c r="W15">
        <f t="shared" si="1"/>
        <v>181.77775851865053</v>
      </c>
      <c r="X15">
        <f t="shared" si="1"/>
        <v>174.9629451108008</v>
      </c>
      <c r="Y15">
        <f t="shared" si="1"/>
        <v>168.14813175355494</v>
      </c>
      <c r="Z15">
        <f t="shared" si="1"/>
        <v>161.33331844278138</v>
      </c>
      <c r="AA15">
        <f t="shared" si="1"/>
        <v>154.51850517421664</v>
      </c>
      <c r="AB15">
        <f t="shared" si="1"/>
        <v>147.70369194347785</v>
      </c>
      <c r="AC15">
        <f t="shared" si="1"/>
        <v>140.88887874607462</v>
      </c>
      <c r="AD15">
        <f t="shared" si="1"/>
        <v>134.07406557742237</v>
      </c>
      <c r="AE15">
        <f t="shared" si="1"/>
        <v>127.25925243285474</v>
      </c>
      <c r="AF15">
        <f t="shared" si="1"/>
        <v>120.44443930763734</v>
      </c>
      <c r="AG15">
        <f t="shared" si="1"/>
        <v>113.62962619698072</v>
      </c>
      <c r="AH15">
        <f t="shared" ref="G15:AI15" si="2">AH13+(($C$10*$C$5)/($C$9*$C$8))*((AI13-2*AH13+AG13)/($C$4^2))</f>
        <v>106.81481309605437</v>
      </c>
    </row>
    <row r="16" spans="2:35" x14ac:dyDescent="0.3">
      <c r="D16" t="s">
        <v>12</v>
      </c>
      <c r="E16">
        <v>92000</v>
      </c>
      <c r="F16">
        <f>-$C$10*((F13-E13)/($C$4))</f>
        <v>92000.000000000306</v>
      </c>
      <c r="G16">
        <f t="shared" ref="G16:AH16" si="3">-$C$10*(G13-F13)/($C$4)</f>
        <v>91999.998762880976</v>
      </c>
      <c r="H16">
        <f t="shared" si="3"/>
        <v>91999.997529267057</v>
      </c>
      <c r="I16">
        <f t="shared" si="3"/>
        <v>91999.996302659376</v>
      </c>
      <c r="J16">
        <f t="shared" si="3"/>
        <v>91999.995086530354</v>
      </c>
      <c r="K16">
        <f t="shared" si="3"/>
        <v>91999.993884329393</v>
      </c>
      <c r="L16">
        <f t="shared" si="3"/>
        <v>91999.992699463677</v>
      </c>
      <c r="M16">
        <f t="shared" si="3"/>
        <v>91999.991535293215</v>
      </c>
      <c r="N16">
        <f t="shared" si="3"/>
        <v>91999.99039511547</v>
      </c>
      <c r="O16">
        <f t="shared" si="3"/>
        <v>91999.989282164985</v>
      </c>
      <c r="P16">
        <f t="shared" si="3"/>
        <v>91999.988199594154</v>
      </c>
      <c r="Q16">
        <f t="shared" si="3"/>
        <v>91999.987150474451</v>
      </c>
      <c r="R16">
        <f t="shared" si="3"/>
        <v>91999.986137776432</v>
      </c>
      <c r="S16">
        <f t="shared" si="3"/>
        <v>91999.985164373953</v>
      </c>
      <c r="T16">
        <f t="shared" si="3"/>
        <v>91999.984233023468</v>
      </c>
      <c r="U16">
        <f t="shared" si="3"/>
        <v>91999.983346366687</v>
      </c>
      <c r="V16">
        <f t="shared" si="3"/>
        <v>91999.982506916844</v>
      </c>
      <c r="W16">
        <f t="shared" si="3"/>
        <v>91999.981717052025</v>
      </c>
      <c r="X16">
        <f t="shared" si="3"/>
        <v>91999.980979013024</v>
      </c>
      <c r="Y16">
        <f t="shared" si="3"/>
        <v>91999.980294890571</v>
      </c>
      <c r="Z16">
        <f t="shared" si="3"/>
        <v>91999.979666625382</v>
      </c>
      <c r="AA16">
        <f t="shared" si="3"/>
        <v>91999.979095995513</v>
      </c>
      <c r="AB16">
        <f t="shared" si="3"/>
        <v>91999.978584622426</v>
      </c>
      <c r="AC16">
        <f t="shared" si="3"/>
        <v>91999.978133951881</v>
      </c>
      <c r="AD16">
        <f t="shared" si="3"/>
        <v>91999.977745264652</v>
      </c>
      <c r="AE16">
        <f t="shared" si="3"/>
        <v>91999.97741965887</v>
      </c>
      <c r="AF16">
        <f t="shared" si="3"/>
        <v>91999.977158061723</v>
      </c>
      <c r="AG16">
        <f t="shared" si="3"/>
        <v>91999.97696121069</v>
      </c>
      <c r="AH16">
        <f t="shared" si="3"/>
        <v>91999.976829666877</v>
      </c>
    </row>
    <row r="19" spans="31:31" x14ac:dyDescent="0.3">
      <c r="AE19" t="s">
        <v>11</v>
      </c>
    </row>
  </sheetData>
  <conditionalFormatting sqref="E13:AI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2021-03-01T09:05:09Z</dcterms:created>
  <dcterms:modified xsi:type="dcterms:W3CDTF">2021-03-02T16:42:34Z</dcterms:modified>
</cp:coreProperties>
</file>